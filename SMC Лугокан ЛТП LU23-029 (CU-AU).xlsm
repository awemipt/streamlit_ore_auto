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5.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charts/chart1.xml" ContentType="application/vnd.openxmlformats-officedocument.drawingml.chart+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drawings/_rels/drawing5.xml.rels" ContentType="application/vnd.openxmlformats-package.relationships+xml"/>
  <Override PartName="/xl/drawings/_rels/drawing4.xml.rels" ContentType="application/vnd.openxmlformats-package.relationships+xml"/>
  <Override PartName="/xl/drawings/_rels/drawing1.xml.rels" ContentType="application/vnd.openxmlformats-package.relationships+xml"/>
  <Override PartName="/xl/drawings/drawing3.xml" ContentType="application/vnd.openxmlformats-officedocument.drawing+xml"/>
  <Override PartName="/xl/drawings/drawing4.xml" ContentType="application/vnd.openxmlformats-officedocument.drawing+xml"/>
  <Override PartName="/xl/drawings/vmlDrawing2.vml" ContentType="application/vnd.openxmlformats-officedocument.vmlDrawing"/>
  <Override PartName="/xl/drawings/drawing5.xml" ContentType="application/vnd.openxmlformats-officedocument.drawing+xml"/>
  <Override PartName="/xl/_rels/workbook.xml.rels" ContentType="application/vnd.openxmlformats-package.relationships+xml"/>
  <Override PartName="/xl/comments4.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Исходные данные" sheetId="1" state="visible" r:id="rId4"/>
    <sheet name="Определение плотности" sheetId="2" state="visible" r:id="rId5"/>
    <sheet name="Отбор кусков" sheetId="3" state="visible" r:id="rId6"/>
    <sheet name="Тестирование DW" sheetId="4" state="visible" r:id="rId7"/>
    <sheet name="t10 v Ecs" sheetId="5" state="visible" r:id="rId8"/>
  </sheets>
  <externalReferences>
    <externalReference r:id="rId9"/>
  </externalReferences>
  <definedNames>
    <definedName function="false" hidden="false" localSheetId="0" name="_xlnm.Print_Area" vbProcedure="false">'Исходные данные'!$A$1:$R$41</definedName>
    <definedName function="false" hidden="false" localSheetId="1" name="_xlnm.Print_Area" vbProcedure="false">'Определение плотности'!$A$1:$K$41</definedName>
    <definedName function="false" hidden="false" localSheetId="2" name="_xlnm.Print_Area" vbProcedure="false">'Отбор кусков'!$A$1:$V$44</definedName>
    <definedName function="false" hidden="false" localSheetId="3" name="_xlnm.Print_Area" vbProcedure="false">'Тестирование DW'!$A$1:$G$66</definedName>
    <definedName function="false" hidden="false" name="Abrasion" vbProcedure="false">'[1]Test Results Entry'!$C$173:$C$174,'[1]Test Results Entry'!$C$157:$C$171</definedName>
    <definedName function="false" hidden="false" name="ActualDropHeights" vbProcedure="false">'Тестирование DW'!$B$30:$F$30</definedName>
    <definedName function="false" hidden="false" name="ActualDropHeightsR" vbProcedure="false">'Тестирование DW'!$B$30:$E$30</definedName>
    <definedName function="false" hidden="false" name="AvailableWeights" vbProcedure="false">'Тестирование DW'!$G$3:$G$11</definedName>
    <definedName function="false" hidden="false" name="Chart_Title" vbProcedure="false">'Исходные данные'!$AB$3</definedName>
    <definedName function="false" hidden="false" name="ChippedFields" vbProcedure="false">'Тестирование DW'!$B$36:$F$36</definedName>
    <definedName function="false" hidden="false" name="Client" vbProcedure="false">'Исходные данные'!$B$3:$D$3</definedName>
    <definedName function="false" hidden="false" name="Comments_Block" vbProcedure="false">'Исходные данные'!$A$46</definedName>
    <definedName function="false" hidden="false" name="CoreDiaRanges" vbProcedure="false">'Исходные данные'!$F$6:$F$12</definedName>
    <definedName function="false" hidden="false" name="Core_Diam" vbProcedure="false">'Исходные данные'!$D$37</definedName>
    <definedName function="false" hidden="false" name="Core_Diams" vbProcedure="false">'Исходные данные'!$G$6:$G$12</definedName>
    <definedName function="false" hidden="false" name="Count_US_Vals" vbProcedure="false">'Тестирование DW'!$G$39</definedName>
    <definedName function="false" hidden="false" name="CrushSelectRanges" vbProcedure="false">'Исходные данные'!$AB$50:$AB$52</definedName>
    <definedName function="false" hidden="false" name="CutCoreParticles" vbProcedure="false">'Отбор кусков'!$C$8:$D$12</definedName>
    <definedName function="false" hidden="false" name="CutCoreRanges" vbProcedure="false">'Исходные данные'!$AD$50:$AD$56</definedName>
    <definedName function="false" hidden="false" name="Date_Tested" vbProcedure="false">'Исходные данные'!$B$8</definedName>
    <definedName function="false" hidden="false" name="DiamVTarget" vbProcedure="false">'Исходные данные'!$G$6:$P$12</definedName>
    <definedName function="false" hidden="false" name="EisValues" vbProcedure="false">'Тестирование DW'!$B$33:$F$33</definedName>
    <definedName function="false" hidden="false" name="Gap_Fields" vbProcedure="false">'Тестирование DW'!$B$45:$F$64</definedName>
    <definedName function="false" hidden="false" name="Gap_FieldsR" vbProcedure="false">'Тестирование DW'!$B$45:$E$64</definedName>
    <definedName function="false" hidden="false" name="HB_H124" vbProcedure="false">'[1]initial data entry'!#ref!</definedName>
    <definedName function="false" hidden="false" name="HB_H13" vbProcedure="false">'[1]initial data entry'!#ref!</definedName>
    <definedName function="false" hidden="false" name="HB_H3" vbProcedure="false">'[1]initial data entry'!#ref!</definedName>
    <definedName function="false" hidden="false" name="HistogramData" vbProcedure="false">'[1]histogram calcs'!#ref!</definedName>
    <definedName function="false" hidden="false" name="Lab_Samp_No" vbProcedure="false">'Исходные данные'!$B$9</definedName>
    <definedName function="false" hidden="false" name="Language" vbProcedure="false">'Исходные данные'!$D$23</definedName>
    <definedName function="false" hidden="false" name="LanguageList" vbProcedure="false">'Исходные данные'!$C$3:$C$17</definedName>
    <definedName function="false" hidden="false" name="LanguageSortKey" vbProcedure="false">'Исходные данные'!$AC$103</definedName>
    <definedName function="false" hidden="false" name="Language_Code" vbProcedure="false">'Исходные данные'!$D$19</definedName>
    <definedName function="false" hidden="false" name="Language_Code_Table" vbProcedure="false">'Исходные данные'!$AB$92:$AC$97</definedName>
    <definedName function="false" hidden="false" name="Language_List" vbProcedure="false">'Исходные данные'!$AB$92:$AB$97</definedName>
    <definedName function="false" hidden="false" name="Language_Translation_Table" vbProcedure="false">'Исходные данные'!$AC$103:$AH$295</definedName>
    <definedName function="false" hidden="false" name="Machine_ID" vbProcedure="false">'Исходные данные'!$D$8</definedName>
    <definedName function="false" hidden="false" name="MassRange" vbProcedure="false">'Отбор кусков'!$J$5</definedName>
    <definedName function="false" hidden="false" name="Mean_SG" vbProcedure="false">'Определение плотности'!$D$19</definedName>
    <definedName function="false" hidden="false" name="MeasuredWts" vbProcedure="false">'Тестирование DW'!$E$3:$E$11</definedName>
    <definedName function="false" hidden="false" name="NumberOfSets" vbProcedure="false">'Отбор кусков'!$I$13</definedName>
    <definedName function="false" hidden="false" name="NumParticles" vbProcedure="false">'Отбор кусков'!$J$7</definedName>
    <definedName function="false" hidden="false" name="NumParticlesPrompt" vbProcedure="false">'Отбор кусков'!$I$7</definedName>
    <definedName function="false" hidden="false" name="Particle_Range" vbProcedure="false">'Исходные данные'!$D$32</definedName>
    <definedName function="false" hidden="false" name="Particle_Type" vbProcedure="false">'Исходные данные'!$D$29</definedName>
    <definedName function="false" hidden="false" name="Particle_Type_Code" vbProcedure="false">'Исходные данные'!$D$28</definedName>
    <definedName function="false" hidden="false" name="Particle_Type_Code_Table" vbProcedure="false">'Исходные данные'!$AB$75:$AC$76</definedName>
    <definedName function="false" hidden="false" name="Particle_Type_List" vbProcedure="false">'Исходные данные'!$AB$75:$AB$76</definedName>
    <definedName function="false" hidden="false" name="PartTypeFromCode" vbProcedure="false">'Исходные данные'!$AC$75:$AD$76</definedName>
    <definedName function="false" hidden="false" name="PrevLanguageCode" vbProcedure="false">'Исходные данные'!$E$7</definedName>
    <definedName function="false" hidden="false" name="PrevPartTypeCode" vbProcedure="false">'Исходные данные'!$E$29</definedName>
    <definedName function="false" hidden="false" name="PrevSG_CalcCode" vbProcedure="false">'Определение плотности'!$E$6</definedName>
    <definedName function="false" hidden="false" name="PrevStartMatCode" vbProcedure="false">'Исходные данные'!$E$26</definedName>
    <definedName function="false" hidden="false" name="Project_ID" vbProcedure="false">'Исходные данные'!$B$4</definedName>
    <definedName function="false" hidden="false" name="RangeVMean" vbProcedure="false">'Исходные данные'!$F$6:$G$12</definedName>
    <definedName function="false" hidden="false" name="ResultsFields" vbProcedure="false">'[1]Test Results Entry'!$C$14:$Q$14,'[1]Test Results Entry'!$C$16:$Q$16,'[1]Test Results Entry'!$C$21:$Q$30,'[1]Test Results Entry'!$C$39:$C$54,'[1]Test Results Entry'!$F$39:$F$54,'[1]Test Results Entry'!$I$39:$I$54,'[1]Test Results Entry'!$C$63:$C$78,'[1]Test Results Entry'!$F$63:$F$78,'[1]Test Results Entry'!$I$63:$I$78,'[1]Test Results Entry'!$C$87:$C$102,'[1]Test Results Entry'!$F$87:$F$102,'[1]Test Results Entry'!$I$87:$I$102,'[1]Test Results Entry'!$C$111:$C$126,'[1]Test Results Entry'!$F$111:$F$126,'[1]Test Results Entry'!$I$111:$I$126,'[1]Test Results Entry'!$C$135:$C$150,'[1]Test Results Entry'!$F$135:$F$150,'[1]Test Results Entry'!$I$135:$I$150,'[1]Test Results Entry'!$C$157:$C$171</definedName>
    <definedName function="false" hidden="false" name="Results_Fields" vbProcedure="false">'[1]Test Results Entry'!$C$14:$Q$14,'[1]Test Results Entry'!$C$16:$Q$16,'[1]Test Results Entry'!$C$21:$Q$30,'[1]Test Results Entry'!$C$39:$C$54,'[1]Test Results Entry'!$F$39:$F$54,'[1]Test Results Entry'!$I$39:$I$54,'[1]Test Results Entry'!$C$63:$C$78</definedName>
    <definedName function="false" hidden="false" name="S16_13" vbProcedure="false">'[1]Test Results Entry'!$I$135:$I$150,'[1]Test Results Entry'!$F$135:$F$150,'[1]Test Results Entry'!$C$135:$C$150</definedName>
    <definedName function="false" hidden="false" name="S22_19" vbProcedure="false">'[1]Test Results Entry'!$I$111:$I$126,'[1]Test Results Entry'!$F$111:$F$126,'[1]Test Results Entry'!$C$111:$C$126</definedName>
    <definedName function="false" hidden="false" name="S31_26" vbProcedure="false">'[1]Test Results Entry'!$I$87:$I$102,'[1]Test Results Entry'!$F$87:$F$102,'[1]Test Results Entry'!$C$87:$C$102</definedName>
    <definedName function="false" hidden="false" name="S45_37" vbProcedure="false">'[1]Test Results Entry'!$I$63:$I$78,'[1]Test Results Entry'!$F$63:$F$78,'[1]Test Results Entry'!$C$63:$C$78</definedName>
    <definedName function="false" hidden="false" name="S63_53" vbProcedure="false">'[1]Test Results Entry'!$I$39:$I$54,'[1]Test Results Entry'!$F$54,'[1]Test Results Entry'!$F$39:$F$54,'[1]Test Results Entry'!$C$39:$C$54</definedName>
    <definedName function="false" hidden="false" name="SampleInfoFields" vbProcedure="false">'Исходные данные'!$B$3:$D$7,'Исходные данные'!$B$8,'Исходные данные'!$D$8</definedName>
    <definedName function="false" hidden="false" name="Sample_ID" vbProcedure="false">'Исходные данные'!$B$5:$D$5</definedName>
    <definedName function="false" hidden="false" name="Sample_Source" vbProcedure="false">'Исходные данные'!$B$6:$D$6</definedName>
    <definedName function="false" hidden="false" name="ScreenWts" vbProcedure="false">'Тестирование DW'!$B$38:$F$39</definedName>
    <definedName function="false" hidden="false" name="ScreenWtsR" vbProcedure="false">'Тестирование DW'!$B$38:$E$39</definedName>
    <definedName function="false" hidden="false" name="SelectedWeights" vbProcedure="false">'Тестирование DW'!$F$15:$F$19</definedName>
    <definedName function="false" hidden="false" name="SelectMethodParticles" vbProcedure="false">'Отбор кусков'!$P$8:$T$8</definedName>
    <definedName function="false" hidden="false" name="SelectSets" vbProcedure="false">'Отбор кусков'!$P$7:$T$8</definedName>
    <definedName function="false" hidden="false" name="SetNumbers" vbProcedure="false">'Отбор кусков'!$BB$7:$BG$47</definedName>
    <definedName function="false" hidden="false" name="SG_CalcFromCode" vbProcedure="false">'Исходные данные'!$AC$59:$AD$61</definedName>
    <definedName function="false" hidden="false" name="SG_CalcType" vbProcedure="false">'Определение плотности'!$C$8</definedName>
    <definedName function="false" hidden="false" name="SG_CalcTypeCode" vbProcedure="false">'Определение плотности'!$D$6</definedName>
    <definedName function="false" hidden="false" name="SG_DataFields1" vbProcedure="false">'Определение плотности'!$B$9:$C$18</definedName>
    <definedName function="false" hidden="false" name="SG_DataFields2" vbProcedure="false">'Определение плотности'!$E$9:$F$18</definedName>
    <definedName function="false" hidden="false" name="SG_Methods_List" vbProcedure="false">'Исходные данные'!$AB$59:$AB$61</definedName>
    <definedName function="false" hidden="false" name="SG_Methods_Table" vbProcedure="false">'Исходные данные'!$AB$59:$AC$61</definedName>
    <definedName function="false" hidden="false" name="SheetNames" vbProcedure="false">'Исходные данные'!$AC$80</definedName>
    <definedName function="false" hidden="false" name="Sheet_Names" vbProcedure="false">'Исходные данные'!$AB$81:$AC$87</definedName>
    <definedName function="false" hidden="false" name="Sheet_Names_List" vbProcedure="false">'Исходные данные'!$AD$81:$AI$87</definedName>
    <definedName function="false" hidden="false" name="Starting_Material" vbProcedure="false">'Исходные данные'!$D$26</definedName>
    <definedName function="false" hidden="false" name="Starting_Material_Code" vbProcedure="false">'Исходные данные'!$D$25</definedName>
    <definedName function="false" hidden="false" name="Starting_Material_Code_Table" vbProcedure="false">'Исходные данные'!$AB$66:$AC$69</definedName>
    <definedName function="false" hidden="false" name="Starting_Material_List" vbProcedure="false">'Исходные данные'!$AB$66:$AB$69</definedName>
    <definedName function="false" hidden="false" name="StartMatFromCode" vbProcedure="false">'Исходные данные'!$AC$66:$AD$69</definedName>
    <definedName function="false" hidden="false" name="t10Values" vbProcedure="false">'Тестирование DW'!$B$43:$F$43</definedName>
    <definedName function="false" hidden="false" name="TargetMass" vbProcedure="false">'Определение плотности'!$G$23</definedName>
    <definedName function="false" hidden="false" name="Target_Eis_Headr" vbProcedure="false">'Тестирование DW'!$E$13</definedName>
    <definedName function="false" hidden="false" name="Tested_by" vbProcedure="false">'Исходные данные'!$B$7:$D$7</definedName>
    <definedName function="false" hidden="false" name="TestLab" vbProcedure="false">'Исходные данные'!$B$20</definedName>
    <definedName function="false" hidden="false" name="TestLabs" vbProcedure="false">'Исходные данные'!$AH$306:$AH$356</definedName>
    <definedName function="false" hidden="false" name="TestLabsAbb" vbProcedure="false">'Исходные данные'!$AH$306:$AI$356</definedName>
    <definedName function="false" hidden="false" name="TotalNumbers" vbProcedure="false">'Отбор кусков'!$BB$7:$BB$47</definedName>
    <definedName function="false" hidden="false" name="TotalNums100" vbProcedure="false">'Отбор кусков'!$BB$7</definedName>
    <definedName function="false" hidden="false" name="TotalNums80" vbProcedure="false">'Отбор кусков'!$BB$7:$BB$27</definedName>
    <definedName function="false" hidden="false" name="Translator" vbProcedure="false">#REF!</definedName>
    <definedName function="false" hidden="false" name="UnbrokenFields" vbProcedure="false">'Тестирование DW'!$B$35:$F$35</definedName>
    <definedName function="false" hidden="false" name="WtInAirValues" vbProcedure="false">'Определение плотности'!$B$9:$B$18</definedName>
    <definedName function="false" hidden="false" name="WtInWaterValues" vbProcedure="false">'Определение плотности'!$C$9:$C$18</definedName>
    <definedName function="false" hidden="false" name="Wt_OS_Fields" vbProcedure="false">'Тестирование DW'!$B$38:$F$38</definedName>
    <definedName function="false" hidden="false" name="Wt_US_Fields" vbProcedure="false">'Тестирование DW'!$B$39:$F$39</definedName>
    <definedName function="false" hidden="false" name="_Lt3" vbProcedure="false">'[1]initial data entry'!#ref!</definedName>
    <definedName function="false" hidden="false" name="_Lt4" vbProcedure="false">'[1]initial data entry'!#ref!</definedName>
    <definedName function="false" hidden="false" localSheetId="1" name="Core_Diam" vbProcedure="false">'Исходные данные'!$D$37</definedName>
    <definedName function="false" hidden="false" localSheetId="1" name="DiamVTarget" vbProcedure="false">'Исходные данные'!$G$6:$P$12</definedName>
    <definedName function="false" hidden="false" localSheetId="1" name="Language" vbProcedure="false">'Исходные данные'!$D$23</definedName>
    <definedName function="false" hidden="false" localSheetId="1" name="Mean_SG" vbProcedure="false">'Определение плотности'!$D$19</definedName>
    <definedName function="false" hidden="false" localSheetId="1" name="Particle_Type" vbProcedure="false">'Исходные данные'!$D$29</definedName>
    <definedName function="false" hidden="false" localSheetId="2" name="Core_Diam" vbProcedure="false">'Исходные данные'!$D$37</definedName>
    <definedName function="false" hidden="false" localSheetId="2" name="DiamVTarget" vbProcedure="false">'Исходные данные'!$G$6:$P$12</definedName>
    <definedName function="false" hidden="false" localSheetId="2" name="Language" vbProcedure="false">'Исходные данные'!$D$23</definedName>
    <definedName function="false" hidden="false" localSheetId="2" name="Particle_Type" vbProcedure="false">'Исходные данные'!$D$29</definedName>
    <definedName function="false" hidden="false" localSheetId="3" name="Client" vbProcedure="false">'Исходные данные'!$B$3:$D$3</definedName>
    <definedName function="false" hidden="false" localSheetId="3" name="Core_Diam" vbProcedure="false">'Исходные данные'!$D$37</definedName>
    <definedName function="false" hidden="false" localSheetId="3" name="Date_Tested" vbProcedure="false">'Исходные данные'!$B$8:$D$8</definedName>
    <definedName function="false" hidden="false" localSheetId="3" name="DiamVTarget" vbProcedure="false">'Исходные данные'!$G$6:$P$12</definedName>
    <definedName function="false" hidden="false" localSheetId="3" name="Language" vbProcedure="false">'Исходные данные'!$D$23</definedName>
    <definedName function="false" hidden="false" localSheetId="3" name="Particle_Type" vbProcedure="false">'Исходные данные'!$D$29</definedName>
    <definedName function="false" hidden="false" localSheetId="3" name="Sample_ID" vbProcedure="false">'Исходные данные'!$B$5:$D$5</definedName>
    <definedName function="false" hidden="false" localSheetId="3" name="Sample_Name" vbProcedure="false">'Исходные данные'!$B$6:$D$6</definedName>
    <definedName function="false" hidden="false" localSheetId="3" name="Tested_by" vbProcedure="false">'Исходные данные'!$B$7:$D$7</definedName>
    <definedName function="false" hidden="true" localSheetId="3" name="Z_1BB7EC4B_BAF1_46C7_9B1D_03AB59ECE5FF_.wvu.PrintArea" vbProcedure="false">'Тестирование DW'!$A$3:$G$65</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AH346" authorId="0">
      <text>
        <r>
          <rPr>
            <sz val="10"/>
            <rFont val="Nimbus Sans"/>
            <family val="2"/>
          </rPr>
          <t xml:space="preserve">Alister Grimes:
</t>
        </r>
        <r>
          <rPr>
            <sz val="9"/>
            <color rgb="FF000000"/>
            <rFont val="Tahoma"/>
            <family val="2"/>
            <charset val="1"/>
          </rPr>
          <t xml:space="preserve">Changed this from Lakefield Canada to differentiate from Lakefield Vancouver.</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E18" authorId="0">
      <text>
        <r>
          <rPr>
            <sz val="10"/>
            <rFont val="Nimbus Sans"/>
            <family val="2"/>
          </rPr>
          <t xml:space="preserve">Alister Grimes:
</t>
        </r>
        <r>
          <rPr>
            <sz val="8"/>
            <color rgb="FF000000"/>
            <rFont val="Tahoma"/>
            <family val="2"/>
            <charset val="1"/>
          </rPr>
          <t xml:space="preserve">Standard value is 2.5, but it will be reduced to midway between 1.0 and the highest top value achievable, if the highest top value is &lt; 3.5.  It's value in this case will be rounded to 1 decimal place.</t>
        </r>
      </text>
    </comment>
    <comment ref="E19" authorId="0">
      <text>
        <r>
          <rPr>
            <sz val="10"/>
            <rFont val="Nimbus Sans"/>
            <family val="2"/>
          </rPr>
          <t xml:space="preserve">Alister Grimes:
</t>
        </r>
        <r>
          <rPr>
            <sz val="8"/>
            <color rgb="FF000000"/>
            <rFont val="Tahoma"/>
            <family val="2"/>
            <charset val="1"/>
          </rPr>
          <t xml:space="preserve">Standard value is 3.5 - may not be achievable with coarse or high SG materials.</t>
        </r>
      </text>
    </comment>
  </commentList>
</comments>
</file>

<file path=xl/sharedStrings.xml><?xml version="1.0" encoding="utf-8"?>
<sst xmlns="http://schemas.openxmlformats.org/spreadsheetml/2006/main" count="1266" uniqueCount="1153">
  <si>
    <t xml:space="preserve">Version 2016 03 09</t>
  </si>
  <si>
    <t xml:space="preserve">Chart Title</t>
  </si>
  <si>
    <t xml:space="preserve">HGE</t>
  </si>
  <si>
    <t xml:space="preserve">Лугоканское</t>
  </si>
  <si>
    <t xml:space="preserve">ЛТП LU23-029 (CU-AU)</t>
  </si>
  <si>
    <t xml:space="preserve">Чижов Н.А.</t>
  </si>
  <si>
    <t xml:space="preserve">Results for Test #</t>
  </si>
  <si>
    <t xml:space="preserve">Eis (kWh/t)</t>
  </si>
  <si>
    <t xml:space="preserve">t10</t>
  </si>
  <si>
    <t xml:space="preserve">Highland Exploration</t>
  </si>
  <si>
    <t xml:space="preserve">Select range that includes your core diameter:</t>
  </si>
  <si>
    <t xml:space="preserve">Seleccione el rango qu incluye el diámetro del testigo:</t>
  </si>
  <si>
    <t xml:space="preserve">Select screen size range to be targeted:</t>
  </si>
  <si>
    <t xml:space="preserve">Seleccione los rangos de tamaño objetivo:</t>
  </si>
  <si>
    <t xml:space="preserve"> (Select coarsest screen size possible, given the sample top size and amount available.)</t>
  </si>
  <si>
    <t xml:space="preserve">(Seleccione el tamaño más grueso posible, en función del tamaño máximo de la muestra y la cantidad disponible.)</t>
  </si>
  <si>
    <t xml:space="preserve">Russian</t>
  </si>
  <si>
    <t xml:space="preserve">Половинки керна</t>
  </si>
  <si>
    <t xml:space="preserve">Quarter core multiplier:</t>
  </si>
  <si>
    <t xml:space="preserve">Четвертинки керна</t>
  </si>
  <si>
    <t xml:space="preserve">60.4 to 69.4 mm</t>
  </si>
  <si>
    <t xml:space="preserve">COMMENTS:</t>
  </si>
  <si>
    <t xml:space="preserve">Alternative Ranges (Crush &amp; Select)</t>
  </si>
  <si>
    <t xml:space="preserve">Alternative Ranges (Cut Core)</t>
  </si>
  <si>
    <t xml:space="preserve">SG Methods</t>
  </si>
  <si>
    <t xml:space="preserve">Starting Material Code Table</t>
  </si>
  <si>
    <t xml:space="preserve">Starting Material</t>
  </si>
  <si>
    <t xml:space="preserve">Starting Material Code</t>
  </si>
  <si>
    <t xml:space="preserve">Particle Type Code Table</t>
  </si>
  <si>
    <t xml:space="preserve">Particle Type</t>
  </si>
  <si>
    <t xml:space="preserve">Particle Type Code</t>
  </si>
  <si>
    <t xml:space="preserve">Sheet Names List</t>
  </si>
  <si>
    <t xml:space="preserve">Sheet Number</t>
  </si>
  <si>
    <t xml:space="preserve">Sheet Names</t>
  </si>
  <si>
    <t xml:space="preserve">English Name</t>
  </si>
  <si>
    <t xml:space="preserve">Spanish Name</t>
  </si>
  <si>
    <t xml:space="preserve">Russian Name</t>
  </si>
  <si>
    <t xml:space="preserve">Portuguese Name</t>
  </si>
  <si>
    <t xml:space="preserve">Chinese Name</t>
  </si>
  <si>
    <t xml:space="preserve">Indonesian Name</t>
  </si>
  <si>
    <t xml:space="preserve">Test Definition</t>
  </si>
  <si>
    <t xml:space="preserve">Definição do teste</t>
  </si>
  <si>
    <t xml:space="preserve">测试定义</t>
  </si>
  <si>
    <t xml:space="preserve">Informasi Pengujian</t>
  </si>
  <si>
    <t xml:space="preserve">SG Measurement</t>
  </si>
  <si>
    <t xml:space="preserve">Medição de Densidade</t>
  </si>
  <si>
    <t xml:space="preserve">比重测试</t>
  </si>
  <si>
    <t xml:space="preserve">Pengukuran SG</t>
  </si>
  <si>
    <t xml:space="preserve">Particle Selection</t>
  </si>
  <si>
    <t xml:space="preserve">Seleção de Partículas</t>
  </si>
  <si>
    <t xml:space="preserve">颗粒挑选</t>
  </si>
  <si>
    <t xml:space="preserve">Pemilihan partikel</t>
  </si>
  <si>
    <t xml:space="preserve">DW Testing</t>
  </si>
  <si>
    <t xml:space="preserve">Teste DW</t>
  </si>
  <si>
    <t xml:space="preserve">落重试验</t>
  </si>
  <si>
    <t xml:space="preserve">Pengujian DW</t>
  </si>
  <si>
    <t xml:space="preserve">Work Sheet</t>
  </si>
  <si>
    <t xml:space="preserve">Planilha de Trabalho</t>
  </si>
  <si>
    <t xml:space="preserve">工作表</t>
  </si>
  <si>
    <t xml:space="preserve">Lembaran kerja</t>
  </si>
  <si>
    <t xml:space="preserve">Procedure</t>
  </si>
  <si>
    <t xml:space="preserve">Procedimento</t>
  </si>
  <si>
    <t xml:space="preserve">程序</t>
  </si>
  <si>
    <t xml:space="preserve">Prosedur</t>
  </si>
  <si>
    <t xml:space="preserve">Pre-Start Check</t>
  </si>
  <si>
    <t xml:space="preserve">Pre Comience el Cheque</t>
  </si>
  <si>
    <t xml:space="preserve">Pre начните проверку</t>
  </si>
  <si>
    <t xml:space="preserve">Comece Pre a Verificação</t>
  </si>
  <si>
    <t xml:space="preserve">启动前检查</t>
  </si>
  <si>
    <t xml:space="preserve">Pemeriksaan sebelum mulai</t>
  </si>
  <si>
    <t xml:space="preserve">Language Code Table</t>
  </si>
  <si>
    <t xml:space="preserve">Language</t>
  </si>
  <si>
    <t xml:space="preserve">Language Code</t>
  </si>
  <si>
    <t xml:space="preserve">English</t>
  </si>
  <si>
    <t xml:space="preserve">Spanish</t>
  </si>
  <si>
    <t xml:space="preserve">Portuguese</t>
  </si>
  <si>
    <t xml:space="preserve">Chinese</t>
  </si>
  <si>
    <t xml:space="preserve">Indonesian</t>
  </si>
  <si>
    <t xml:space="preserve">Language Translation Table</t>
  </si>
  <si>
    <t xml:space="preserve"># chipped</t>
  </si>
  <si>
    <t xml:space="preserve"># saltado</t>
  </si>
  <si>
    <t xml:space="preserve">кол-во расколотых</t>
  </si>
  <si>
    <t xml:space="preserve"># quebradas</t>
  </si>
  <si>
    <r>
      <rPr>
        <sz val="10"/>
        <color rgb="FF0000FF"/>
        <rFont val="Arial"/>
        <family val="2"/>
        <charset val="1"/>
      </rPr>
      <t xml:space="preserve">#</t>
    </r>
    <r>
      <rPr>
        <sz val="10"/>
        <color rgb="FF0000FF"/>
        <rFont val="Nimbus Sans"/>
        <family val="2"/>
      </rPr>
      <t xml:space="preserve">碎片</t>
    </r>
  </si>
  <si>
    <t xml:space="preserve">Jumlah Yg Retak</t>
  </si>
  <si>
    <t xml:space="preserve"># Particles</t>
  </si>
  <si>
    <t xml:space="preserve"># Particulas</t>
  </si>
  <si>
    <t xml:space="preserve">кол-во кусков</t>
  </si>
  <si>
    <t xml:space="preserve"># partículas</t>
  </si>
  <si>
    <r>
      <rPr>
        <sz val="10"/>
        <color rgb="FF0000FF"/>
        <rFont val="Arial"/>
        <family val="2"/>
        <charset val="1"/>
      </rPr>
      <t xml:space="preserve">#</t>
    </r>
    <r>
      <rPr>
        <sz val="10"/>
        <color rgb="FF0000FF"/>
        <rFont val="Nimbus Sans"/>
        <family val="2"/>
      </rPr>
      <t xml:space="preserve">颗粒</t>
    </r>
  </si>
  <si>
    <t xml:space="preserve">Jumlah Partikel</t>
  </si>
  <si>
    <t xml:space="preserve"># unbroken</t>
  </si>
  <si>
    <t xml:space="preserve"># no fracturados</t>
  </si>
  <si>
    <t xml:space="preserve">кол-во неразрушенных</t>
  </si>
  <si>
    <t xml:space="preserve"># não quebradas</t>
  </si>
  <si>
    <r>
      <rPr>
        <sz val="10"/>
        <color rgb="FF0000FF"/>
        <rFont val="Arial"/>
        <family val="2"/>
        <charset val="1"/>
      </rPr>
      <t xml:space="preserve">#</t>
    </r>
    <r>
      <rPr>
        <sz val="10"/>
        <color rgb="FF0000FF"/>
        <rFont val="Nimbus Sans"/>
        <family val="2"/>
      </rPr>
      <t xml:space="preserve">未破碎</t>
    </r>
  </si>
  <si>
    <t xml:space="preserve">Jumlah Yg Tidak Hancur</t>
  </si>
  <si>
    <t xml:space="preserve">(Navision) Job Number:</t>
  </si>
  <si>
    <t xml:space="preserve">Nombre o Número del Proyecto:</t>
  </si>
  <si>
    <t xml:space="preserve">Имя или номер проекта:</t>
  </si>
  <si>
    <t xml:space="preserve">Nome ou Número do Projeto:</t>
  </si>
  <si>
    <t xml:space="preserve">项目名字或数字：</t>
  </si>
  <si>
    <t xml:space="preserve">(Navision) Nomor Pekerjaan :</t>
  </si>
  <si>
    <t xml:space="preserve">(Select coarsest screen size possible, given the sample top size and amount available.)</t>
  </si>
  <si>
    <t xml:space="preserve">(максимально возможную с учетом крупности и массы исходной пробы.)</t>
  </si>
  <si>
    <t xml:space="preserve">(escolher a maior faixa granulométrica possível, dado o top size e a quantidade disponível de amostra.)</t>
  </si>
  <si>
    <t xml:space="preserve">给定试样最大尺寸和可用数量，选择尽可能最粗的筛孔尺寸</t>
  </si>
  <si>
    <t xml:space="preserve">Pilih ukuran saringan terbesar, mengacu pada ukuran terbesar dan berat yg tersedia</t>
  </si>
  <si>
    <t xml:space="preserve">* For cores of less than 32 mm diameter, please refer to JKTech for recommendations.</t>
  </si>
  <si>
    <t xml:space="preserve">* Para los testigos de menos de 32 milímetros de diámetro, diríjase al JKTech para recomendaciones</t>
  </si>
  <si>
    <t xml:space="preserve">* при диаметре керна менее 32 мм обратитесь в JKTech за рекомендациями</t>
  </si>
  <si>
    <t xml:space="preserve">* Para testemunhos com menos de 32 mm de diâmetro, favor recorrer às recomendações do JKTech.</t>
  </si>
  <si>
    <r>
      <rPr>
        <sz val="10"/>
        <color rgb="FF0000FF"/>
        <rFont val="Arial"/>
        <family val="2"/>
        <charset val="1"/>
      </rPr>
      <t xml:space="preserve">*</t>
    </r>
    <r>
      <rPr>
        <sz val="10"/>
        <color rgb="FF0000FF"/>
        <rFont val="Nimbus Sans"/>
        <family val="2"/>
      </rPr>
      <t xml:space="preserve">若岩芯直径小于</t>
    </r>
    <r>
      <rPr>
        <sz val="10"/>
        <color rgb="FF0000FF"/>
        <rFont val="Arial"/>
        <family val="2"/>
        <charset val="1"/>
      </rPr>
      <t xml:space="preserve">32mm</t>
    </r>
    <r>
      <rPr>
        <sz val="10"/>
        <color rgb="FF0000FF"/>
        <rFont val="Nimbus Sans"/>
        <family val="2"/>
      </rPr>
      <t xml:space="preserve">，请参考</t>
    </r>
    <r>
      <rPr>
        <sz val="10"/>
        <color rgb="FF0000FF"/>
        <rFont val="Arial"/>
        <family val="2"/>
        <charset val="1"/>
      </rPr>
      <t xml:space="preserve">JKTech</t>
    </r>
    <r>
      <rPr>
        <sz val="10"/>
        <color rgb="FF0000FF"/>
        <rFont val="Nimbus Sans"/>
        <family val="2"/>
      </rPr>
      <t xml:space="preserve">建议</t>
    </r>
  </si>
  <si>
    <t xml:space="preserve">*Untuk core dengan dimater kurang dari 32 mm, konsultasi dengan  JKTech </t>
  </si>
  <si>
    <t xml:space="preserve">1/4 Core Length (mm)</t>
  </si>
  <si>
    <t xml:space="preserve">Longitud del 1/4 Testigo (mm)</t>
  </si>
  <si>
    <t xml:space="preserve">Длина 1/4 керна (мм)</t>
  </si>
  <si>
    <t xml:space="preserve">Comprimento de testemunho de 1/4 (mm)</t>
  </si>
  <si>
    <r>
      <rPr>
        <sz val="10"/>
        <color rgb="FF0000FF"/>
        <rFont val="Arial"/>
        <family val="2"/>
        <charset val="1"/>
      </rPr>
      <t xml:space="preserve">1/4</t>
    </r>
    <r>
      <rPr>
        <sz val="10"/>
        <color rgb="FF0000FF"/>
        <rFont val="Nimbus Sans"/>
        <family val="2"/>
      </rPr>
      <t xml:space="preserve">岩芯长度（</t>
    </r>
    <r>
      <rPr>
        <sz val="10"/>
        <color rgb="FF0000FF"/>
        <rFont val="Arial"/>
        <family val="2"/>
        <charset val="1"/>
      </rPr>
      <t xml:space="preserve">mm</t>
    </r>
    <r>
      <rPr>
        <sz val="10"/>
        <color rgb="FF0000FF"/>
        <rFont val="Nimbus Sans"/>
        <family val="2"/>
      </rPr>
      <t xml:space="preserve">）</t>
    </r>
  </si>
  <si>
    <t xml:space="preserve">1/4 panjang core (mm)</t>
  </si>
  <si>
    <t xml:space="preserve">Achieved Average Particle Mass (g):</t>
  </si>
  <si>
    <t xml:space="preserve">Masa Promedio de Partícula Registrado (g):</t>
  </si>
  <si>
    <t xml:space="preserve">Средняя масса полученных кусков (г):</t>
  </si>
  <si>
    <t xml:space="preserve">Massa média das partículas (g)</t>
  </si>
  <si>
    <r>
      <rPr>
        <sz val="10"/>
        <color rgb="FF0000FF"/>
        <rFont val="Nimbus Sans"/>
        <family val="2"/>
      </rPr>
      <t xml:space="preserve">取得的颗粒质量平均值（</t>
    </r>
    <r>
      <rPr>
        <sz val="10"/>
        <color rgb="FF0000FF"/>
        <rFont val="Arial"/>
        <family val="2"/>
        <charset val="1"/>
      </rPr>
      <t xml:space="preserve">g</t>
    </r>
    <r>
      <rPr>
        <sz val="10"/>
        <color rgb="FF0000FF"/>
        <rFont val="Nimbus Sans"/>
        <family val="2"/>
      </rPr>
      <t xml:space="preserve">）</t>
    </r>
  </si>
  <si>
    <t xml:space="preserve">Massa rata-rata partikel yang dicapai (g) :</t>
  </si>
  <si>
    <t xml:space="preserve">Actual Volume</t>
  </si>
  <si>
    <t xml:space="preserve">Volumen Real</t>
  </si>
  <si>
    <t xml:space="preserve">Факт. объем</t>
  </si>
  <si>
    <t xml:space="preserve">Volume atual</t>
  </si>
  <si>
    <t xml:space="preserve">实际体积</t>
  </si>
  <si>
    <t xml:space="preserve">Volume Aktual</t>
  </si>
  <si>
    <r>
      <rPr>
        <sz val="10"/>
        <rFont val="Arial"/>
        <family val="0"/>
        <charset val="1"/>
      </rPr>
      <t xml:space="preserve">Actual Volume cm</t>
    </r>
    <r>
      <rPr>
        <vertAlign val="superscript"/>
        <sz val="10"/>
        <rFont val="Arial"/>
        <family val="2"/>
        <charset val="1"/>
      </rPr>
      <t xml:space="preserve">3</t>
    </r>
  </si>
  <si>
    <r>
      <rPr>
        <sz val="10"/>
        <color rgb="FF0000FF"/>
        <rFont val="Arial"/>
        <family val="2"/>
        <charset val="1"/>
      </rPr>
      <t xml:space="preserve">Volumen Real cm</t>
    </r>
    <r>
      <rPr>
        <vertAlign val="superscript"/>
        <sz val="10"/>
        <color rgb="FF0000FF"/>
        <rFont val="Arial"/>
        <family val="2"/>
        <charset val="1"/>
      </rPr>
      <t xml:space="preserve">3</t>
    </r>
  </si>
  <si>
    <t xml:space="preserve">Фактический объем см3</t>
  </si>
  <si>
    <t xml:space="preserve">Volume atual cm3</t>
  </si>
  <si>
    <r>
      <rPr>
        <sz val="10"/>
        <color rgb="FF0000FF"/>
        <rFont val="Nimbus Sans"/>
        <family val="2"/>
      </rPr>
      <t xml:space="preserve">实际容积</t>
    </r>
    <r>
      <rPr>
        <sz val="10"/>
        <color rgb="FF0000FF"/>
        <rFont val="Arial"/>
        <family val="2"/>
        <charset val="1"/>
      </rPr>
      <t xml:space="preserve">cm3</t>
    </r>
  </si>
  <si>
    <t xml:space="preserve">Volume Aktual (cm3)</t>
  </si>
  <si>
    <t xml:space="preserve">Aperture</t>
  </si>
  <si>
    <t xml:space="preserve">Abertura</t>
  </si>
  <si>
    <t xml:space="preserve">Отверстие</t>
  </si>
  <si>
    <t xml:space="preserve">孔径</t>
  </si>
  <si>
    <t xml:space="preserve">Bukaan</t>
  </si>
  <si>
    <t xml:space="preserve">Approximate Length of Starting Material Required:</t>
  </si>
  <si>
    <t xml:space="preserve">Longitud Aproximada del Material Inicial Requerido:</t>
  </si>
  <si>
    <t xml:space="preserve">Приблизительная необходимая длина исходного материала:</t>
  </si>
  <si>
    <t xml:space="preserve">Comprimento aproximado requerido do material inicial:</t>
  </si>
  <si>
    <t xml:space="preserve">要求的初始原料大致长度</t>
  </si>
  <si>
    <t xml:space="preserve">Perkiraan panjang material pemula yang dibutuhkan :</t>
  </si>
  <si>
    <t xml:space="preserve">Approximate Sample Mass Required:</t>
  </si>
  <si>
    <t xml:space="preserve">Masa aproximada de la muestra requerida:</t>
  </si>
  <si>
    <t xml:space="preserve">Приблизительная необходимая масса исходного материала:</t>
  </si>
  <si>
    <t xml:space="preserve">Massa aproximada de amostra requerida:</t>
  </si>
  <si>
    <t xml:space="preserve">要求的样品大致质量</t>
  </si>
  <si>
    <t xml:space="preserve">Perkiraan berat sampel yang dibutuhkan</t>
  </si>
  <si>
    <t xml:space="preserve">Are you sure you want to erase all entered data?</t>
  </si>
  <si>
    <t xml:space="preserve">Es usted seguro usted desea borrar todos los datos incorporados?</t>
  </si>
  <si>
    <t xml:space="preserve">Вы уверены, что хотите удалить все введенные данные?</t>
  </si>
  <si>
    <t xml:space="preserve">Tem certeza que deseja deletar todos os dados de entrada?</t>
  </si>
  <si>
    <t xml:space="preserve">确定是否删除所有输入数据？</t>
  </si>
  <si>
    <t xml:space="preserve">Apakah semua data ingin dihapus?</t>
  </si>
  <si>
    <t xml:space="preserve">Available Wts</t>
  </si>
  <si>
    <t xml:space="preserve">Pesos Disponibles</t>
  </si>
  <si>
    <t xml:space="preserve">Комбинации грузов</t>
  </si>
  <si>
    <t xml:space="preserve">Pesos disponíveis</t>
  </si>
  <si>
    <t xml:space="preserve">可用质量</t>
  </si>
  <si>
    <t xml:space="preserve">Berat yang tersedia</t>
  </si>
  <si>
    <t xml:space="preserve">Average</t>
  </si>
  <si>
    <t xml:space="preserve">Promedio</t>
  </si>
  <si>
    <t xml:space="preserve">Средний</t>
  </si>
  <si>
    <t xml:space="preserve">Média</t>
  </si>
  <si>
    <t xml:space="preserve">平均</t>
  </si>
  <si>
    <t xml:space="preserve">Rata-rata</t>
  </si>
  <si>
    <t xml:space="preserve">Average Gap - cm</t>
  </si>
  <si>
    <t xml:space="preserve">Boquete Promedio - cm</t>
  </si>
  <si>
    <t xml:space="preserve">Средн. остат. высота - см</t>
  </si>
  <si>
    <t xml:space="preserve">Altura residual média (cm)</t>
  </si>
  <si>
    <r>
      <rPr>
        <sz val="10"/>
        <color rgb="FF0000FF"/>
        <rFont val="Nimbus Sans"/>
        <family val="2"/>
      </rPr>
      <t xml:space="preserve">平均间隙</t>
    </r>
    <r>
      <rPr>
        <sz val="10"/>
        <color rgb="FF0000FF"/>
        <rFont val="Arial"/>
        <family val="2"/>
        <charset val="1"/>
      </rPr>
      <t xml:space="preserve">-cm</t>
    </r>
  </si>
  <si>
    <t xml:space="preserve">Celah Rata-rata-cm</t>
  </si>
  <si>
    <t xml:space="preserve">Average Particle Mass (g):</t>
  </si>
  <si>
    <t xml:space="preserve">Promedio Masa de la Partícula (g):</t>
  </si>
  <si>
    <t xml:space="preserve">Средняя масса частицы (g):</t>
  </si>
  <si>
    <t xml:space="preserve">Massa Média da Partícula (g):</t>
  </si>
  <si>
    <r>
      <rPr>
        <sz val="10"/>
        <color rgb="FF0000FF"/>
        <rFont val="Nimbus Sans"/>
        <family val="2"/>
      </rPr>
      <t xml:space="preserve">平均粒子质量（</t>
    </r>
    <r>
      <rPr>
        <sz val="10"/>
        <color rgb="FF0000FF"/>
        <rFont val="Arial"/>
        <family val="2"/>
        <charset val="1"/>
      </rPr>
      <t xml:space="preserve">g</t>
    </r>
    <r>
      <rPr>
        <sz val="10"/>
        <color rgb="FF0000FF"/>
        <rFont val="Nimbus Sans"/>
        <family val="2"/>
      </rPr>
      <t xml:space="preserve">）：</t>
    </r>
  </si>
  <si>
    <t xml:space="preserve">Berat partikel rata-rata (g) :</t>
  </si>
  <si>
    <t xml:space="preserve">Batch Number</t>
  </si>
  <si>
    <t xml:space="preserve">Número de Pesaje</t>
  </si>
  <si>
    <t xml:space="preserve">Номер замера</t>
  </si>
  <si>
    <t xml:space="preserve">Número do lote</t>
  </si>
  <si>
    <t xml:space="preserve">批号</t>
  </si>
  <si>
    <t xml:space="preserve">Nomer Batch</t>
  </si>
  <si>
    <t xml:space="preserve">Broken Rock</t>
  </si>
  <si>
    <t xml:space="preserve">Roca Fracturada</t>
  </si>
  <si>
    <t xml:space="preserve">Кусковой материал</t>
  </si>
  <si>
    <t xml:space="preserve">Rocha quebrada</t>
  </si>
  <si>
    <t xml:space="preserve">破碎岩石</t>
  </si>
  <si>
    <t xml:space="preserve">Batuan yang hancur</t>
  </si>
  <si>
    <t xml:space="preserve">Client Sample Identification:</t>
  </si>
  <si>
    <t xml:space="preserve">Identificación de Muestra del Cliente:</t>
  </si>
  <si>
    <t xml:space="preserve">Идентификация образца клиента:</t>
  </si>
  <si>
    <t xml:space="preserve">Identificação de Amostra do Cliente:</t>
  </si>
  <si>
    <t xml:space="preserve">客户样品证明：</t>
  </si>
  <si>
    <t xml:space="preserve">Identitas sampel dari pelanggan :</t>
  </si>
  <si>
    <t xml:space="preserve">Client:</t>
  </si>
  <si>
    <t xml:space="preserve">Cliente:</t>
  </si>
  <si>
    <t xml:space="preserve">Заказчик:</t>
  </si>
  <si>
    <r>
      <rPr>
        <sz val="10"/>
        <color rgb="FF0000FF"/>
        <rFont val="Nimbus Sans"/>
        <family val="2"/>
      </rPr>
      <t xml:space="preserve">客户名称</t>
    </r>
    <r>
      <rPr>
        <sz val="10"/>
        <color rgb="FF0000FF"/>
        <rFont val="Arial"/>
        <family val="2"/>
        <charset val="1"/>
      </rPr>
      <t xml:space="preserve">:</t>
    </r>
  </si>
  <si>
    <t xml:space="preserve">Pelanggan:</t>
  </si>
  <si>
    <t xml:space="preserve">Confirm Delete</t>
  </si>
  <si>
    <t xml:space="preserve">Confirme la Canceladura</t>
  </si>
  <si>
    <t xml:space="preserve">Подтвердите удаление</t>
  </si>
  <si>
    <t xml:space="preserve">Confirmar delete</t>
  </si>
  <si>
    <t xml:space="preserve">确认删除</t>
  </si>
  <si>
    <t xml:space="preserve">Konfirmasi penghapusan</t>
  </si>
  <si>
    <t xml:space="preserve">Core Dia.</t>
  </si>
  <si>
    <t xml:space="preserve">Diám. Testigo</t>
  </si>
  <si>
    <t xml:space="preserve">Диаметр керна</t>
  </si>
  <si>
    <t xml:space="preserve">Dia. do testemunho</t>
  </si>
  <si>
    <t xml:space="preserve">岩芯直径</t>
  </si>
  <si>
    <t xml:space="preserve">Diameter core</t>
  </si>
  <si>
    <t xml:space="preserve">Core Diameter</t>
  </si>
  <si>
    <t xml:space="preserve">Diámetro de Base</t>
  </si>
  <si>
    <t xml:space="preserve">Diâmetro do testemunho</t>
  </si>
  <si>
    <t xml:space="preserve">Core Diameter Range</t>
  </si>
  <si>
    <t xml:space="preserve">Rango Diámetro Testigo</t>
  </si>
  <si>
    <t xml:space="preserve">Инт. диаметра керна</t>
  </si>
  <si>
    <t xml:space="preserve">Faixa de diâmetro do testemhnuo</t>
  </si>
  <si>
    <t xml:space="preserve">岩芯直径范围</t>
  </si>
  <si>
    <t xml:space="preserve">Rentang dimeter core</t>
  </si>
  <si>
    <t xml:space="preserve">Core Piece ID</t>
  </si>
  <si>
    <t xml:space="preserve">Identificación de Partículas del Testigo</t>
  </si>
  <si>
    <t xml:space="preserve">Номер куска/керна</t>
  </si>
  <si>
    <t xml:space="preserve">ID do testemunho</t>
  </si>
  <si>
    <t xml:space="preserve">岩芯块编号</t>
  </si>
  <si>
    <t xml:space="preserve">Identitas core</t>
  </si>
  <si>
    <t xml:space="preserve">Core Volume Range</t>
  </si>
  <si>
    <t xml:space="preserve">Rango Volumen Testigo</t>
  </si>
  <si>
    <t xml:space="preserve">Инт. объема керна</t>
  </si>
  <si>
    <t xml:space="preserve">Faixa de volume do testemunho</t>
  </si>
  <si>
    <t xml:space="preserve">岩芯体积范围</t>
  </si>
  <si>
    <t xml:space="preserve">Rentang volume inti</t>
  </si>
  <si>
    <t xml:space="preserve">Corresponding Nominal Core Diameter Targeted:</t>
  </si>
  <si>
    <t xml:space="preserve">Diámetro Objetivo Nominal del Testigo:</t>
  </si>
  <si>
    <t xml:space="preserve">Соответствующий номинальный диаметр керна</t>
  </si>
  <si>
    <t xml:space="preserve">Diâmetro nominal correspondente especificado:</t>
  </si>
  <si>
    <t xml:space="preserve">相应的岩芯名义直径：</t>
  </si>
  <si>
    <t xml:space="preserve">Diamter core yang diinginkan</t>
  </si>
  <si>
    <t xml:space="preserve">Date Tested:</t>
  </si>
  <si>
    <t xml:space="preserve">Fecha:</t>
  </si>
  <si>
    <t xml:space="preserve">Дата тестирования:</t>
  </si>
  <si>
    <t xml:space="preserve">Data do teste:</t>
  </si>
  <si>
    <t xml:space="preserve">试验日期：</t>
  </si>
  <si>
    <t xml:space="preserve">Tanggal pengujian :</t>
  </si>
  <si>
    <t xml:space="preserve">Deposit / Sample Source:</t>
  </si>
  <si>
    <t xml:space="preserve">Depósito / Fuente De la Muestra:</t>
  </si>
  <si>
    <t xml:space="preserve">Месторождение /поставщик руды:</t>
  </si>
  <si>
    <t xml:space="preserve">Depósito / Fonte da Amostra:</t>
  </si>
  <si>
    <r>
      <rPr>
        <sz val="10"/>
        <color rgb="FF0000FF"/>
        <rFont val="Nimbus Sans"/>
        <family val="2"/>
      </rPr>
      <t xml:space="preserve">储蓄 </t>
    </r>
    <r>
      <rPr>
        <sz val="10"/>
        <color rgb="FF0000FF"/>
        <rFont val="Arial"/>
        <family val="2"/>
        <charset val="1"/>
      </rPr>
      <t xml:space="preserve">/ </t>
    </r>
    <r>
      <rPr>
        <sz val="10"/>
        <color rgb="FF0000FF"/>
        <rFont val="Nimbus Sans"/>
        <family val="2"/>
      </rPr>
      <t xml:space="preserve">样品来源：</t>
    </r>
  </si>
  <si>
    <t xml:space="preserve">Sumber sampel/deposit :</t>
  </si>
  <si>
    <t xml:space="preserve">Diameter Tested:</t>
  </si>
  <si>
    <t xml:space="preserve">Diámetro Testigo:</t>
  </si>
  <si>
    <t xml:space="preserve">Протестированный диаметр:</t>
  </si>
  <si>
    <t xml:space="preserve">Diâmetro testado:</t>
  </si>
  <si>
    <t xml:space="preserve">试验直径：</t>
  </si>
  <si>
    <t xml:space="preserve">Diameter yang diuji :</t>
  </si>
  <si>
    <t xml:space="preserve">Drop Height (Actual) - cm</t>
  </si>
  <si>
    <t xml:space="preserve">Drop Height (Real) - cm</t>
  </si>
  <si>
    <t xml:space="preserve">Высота (фактическая) - см</t>
  </si>
  <si>
    <t xml:space="preserve">Altura de queda (atual) - cm</t>
  </si>
  <si>
    <r>
      <rPr>
        <sz val="10"/>
        <color rgb="FF0000FF"/>
        <rFont val="Nimbus Sans"/>
        <family val="2"/>
      </rPr>
      <t xml:space="preserve">下落高度（实际）</t>
    </r>
    <r>
      <rPr>
        <sz val="10"/>
        <color rgb="FF0000FF"/>
        <rFont val="Arial"/>
        <family val="2"/>
        <charset val="1"/>
      </rPr>
      <t xml:space="preserve">-cm</t>
    </r>
  </si>
  <si>
    <t xml:space="preserve">Tinggi Drop (aktual)-cm</t>
  </si>
  <si>
    <t xml:space="preserve">Drop Height (Target) - cm</t>
  </si>
  <si>
    <t xml:space="preserve">Drop Height (Objetivo) - cm</t>
  </si>
  <si>
    <t xml:space="preserve">Высота (целевая) - см</t>
  </si>
  <si>
    <t xml:space="preserve">Altura de queda (especificado) - cm</t>
  </si>
  <si>
    <r>
      <rPr>
        <sz val="10"/>
        <color rgb="FF0000FF"/>
        <rFont val="Nimbus Sans"/>
        <family val="2"/>
      </rPr>
      <t xml:space="preserve">下落高度（目标）</t>
    </r>
    <r>
      <rPr>
        <sz val="10"/>
        <color rgb="FF0000FF"/>
        <rFont val="Arial"/>
        <family val="2"/>
        <charset val="1"/>
      </rPr>
      <t xml:space="preserve">-cm</t>
    </r>
  </si>
  <si>
    <t xml:space="preserve">Tinggi Drop (target)-cm</t>
  </si>
  <si>
    <t xml:space="preserve">Drop Ht (cm)</t>
  </si>
  <si>
    <t xml:space="preserve">Высота (см)</t>
  </si>
  <si>
    <t xml:space="preserve">Altura de queda (cm)</t>
  </si>
  <si>
    <r>
      <rPr>
        <sz val="10"/>
        <color rgb="FF0000FF"/>
        <rFont val="Nimbus Sans"/>
        <family val="2"/>
      </rPr>
      <t xml:space="preserve">下落高度（</t>
    </r>
    <r>
      <rPr>
        <sz val="10"/>
        <color rgb="FF0000FF"/>
        <rFont val="Arial"/>
        <family val="2"/>
        <charset val="1"/>
      </rPr>
      <t xml:space="preserve">cm</t>
    </r>
    <r>
      <rPr>
        <sz val="10"/>
        <color rgb="FF0000FF"/>
        <rFont val="Nimbus Sans"/>
        <family val="2"/>
      </rPr>
      <t xml:space="preserve">）</t>
    </r>
  </si>
  <si>
    <t xml:space="preserve">Tinggi Drop(cm)</t>
  </si>
  <si>
    <t xml:space="preserve">DROP WEIGHT TESTING WORK SHEET</t>
  </si>
  <si>
    <t xml:space="preserve">HOJA DE TRABAJO ENSAYO DROP-WEIGHT</t>
  </si>
  <si>
    <t xml:space="preserve">РАБОЧИЙ ЛИСТ ТЕСТИРОВАНИЯ</t>
  </si>
  <si>
    <t xml:space="preserve">PLANILHA DE TESTE - DROP WEIGTH TEST</t>
  </si>
  <si>
    <t xml:space="preserve">落重试验工作表</t>
  </si>
  <si>
    <t xml:space="preserve">Halaman Pengujian Drop Weight</t>
  </si>
  <si>
    <t xml:space="preserve">Drop Wt (kg)</t>
  </si>
  <si>
    <t xml:space="preserve">Масса (кг)</t>
  </si>
  <si>
    <t xml:space="preserve">Peso de queda (Kg)</t>
  </si>
  <si>
    <r>
      <rPr>
        <sz val="10"/>
        <color rgb="FF0000FF"/>
        <rFont val="Nimbus Sans"/>
        <family val="2"/>
      </rPr>
      <t xml:space="preserve">下落质量（</t>
    </r>
    <r>
      <rPr>
        <sz val="10"/>
        <color rgb="FF0000FF"/>
        <rFont val="Arial"/>
        <family val="2"/>
        <charset val="1"/>
      </rPr>
      <t xml:space="preserve">kg</t>
    </r>
    <r>
      <rPr>
        <sz val="10"/>
        <color rgb="FF0000FF"/>
        <rFont val="Nimbus Sans"/>
        <family val="2"/>
      </rPr>
      <t xml:space="preserve">）</t>
    </r>
  </si>
  <si>
    <t xml:space="preserve">Berat Drop (kg)</t>
  </si>
  <si>
    <t xml:space="preserve">Drop-Weight Configuration</t>
  </si>
  <si>
    <t xml:space="preserve">Drop-Weight Configuración</t>
  </si>
  <si>
    <t xml:space="preserve">Комбинация грузов</t>
  </si>
  <si>
    <t xml:space="preserve">Configuração do peso de queda</t>
  </si>
  <si>
    <t xml:space="preserve">下落质量组成</t>
  </si>
  <si>
    <t xml:space="preserve">Konfigurasi Berat Drop</t>
  </si>
  <si>
    <t xml:space="preserve">Drop-Weight Mass - kg</t>
  </si>
  <si>
    <t xml:space="preserve">Drop-Weight Masa - kg</t>
  </si>
  <si>
    <t xml:space="preserve">Масса груза - кг</t>
  </si>
  <si>
    <t xml:space="preserve">Massa do peso de queda (Kg)</t>
  </si>
  <si>
    <r>
      <rPr>
        <sz val="10"/>
        <color rgb="FF0000FF"/>
        <rFont val="Nimbus Sans"/>
        <family val="2"/>
      </rPr>
      <t xml:space="preserve">下落锤头质量 （</t>
    </r>
    <r>
      <rPr>
        <sz val="10"/>
        <color rgb="FF0000FF"/>
        <rFont val="Arial"/>
        <family val="2"/>
        <charset val="1"/>
      </rPr>
      <t xml:space="preserve">kg</t>
    </r>
    <r>
      <rPr>
        <sz val="10"/>
        <color rgb="FF0000FF"/>
        <rFont val="Nimbus Sans"/>
        <family val="2"/>
      </rPr>
      <t xml:space="preserve">）</t>
    </r>
  </si>
  <si>
    <t xml:space="preserve">Prueba de DW</t>
  </si>
  <si>
    <t xml:space="preserve">Тестирование DW</t>
  </si>
  <si>
    <t xml:space="preserve">DWT</t>
  </si>
  <si>
    <t xml:space="preserve">落重试验 </t>
  </si>
  <si>
    <t xml:space="preserve">Eis Status</t>
  </si>
  <si>
    <t xml:space="preserve">Eis Estado</t>
  </si>
  <si>
    <t xml:space="preserve">Статус Eis</t>
  </si>
  <si>
    <t xml:space="preserve">Condição da Eis</t>
  </si>
  <si>
    <r>
      <rPr>
        <sz val="10"/>
        <color rgb="FF0000FF"/>
        <rFont val="Arial"/>
        <family val="2"/>
        <charset val="1"/>
      </rPr>
      <t xml:space="preserve">Eis</t>
    </r>
    <r>
      <rPr>
        <sz val="10"/>
        <color rgb="FF0000FF"/>
        <rFont val="Nimbus Sans"/>
        <family val="2"/>
      </rPr>
      <t xml:space="preserve">状态</t>
    </r>
  </si>
  <si>
    <t xml:space="preserve">Status Eis</t>
  </si>
  <si>
    <t xml:space="preserve">Error Status</t>
  </si>
  <si>
    <t xml:space="preserve">Estado De Error</t>
  </si>
  <si>
    <t xml:space="preserve">Статус ошибки</t>
  </si>
  <si>
    <t xml:space="preserve">Condição do Erro</t>
  </si>
  <si>
    <t xml:space="preserve">错误状态</t>
  </si>
  <si>
    <t xml:space="preserve">Status error</t>
  </si>
  <si>
    <t xml:space="preserve">Estimate of Density for Sample Requirements:</t>
  </si>
  <si>
    <t xml:space="preserve">Estimación de la Densidad para los Requerimientos de la Muestra:</t>
  </si>
  <si>
    <t xml:space="preserve">Ориентировочная плотность для оценки массы пробы:</t>
  </si>
  <si>
    <t xml:space="preserve">Requisitos para a estimativa da densidade das amostras: </t>
  </si>
  <si>
    <t xml:space="preserve">样品要求的密度估计</t>
  </si>
  <si>
    <t xml:space="preserve">Perkiraaan densitas untuk persyaratan sampel :</t>
  </si>
  <si>
    <t xml:space="preserve">Final Height - cm</t>
  </si>
  <si>
    <t xml:space="preserve">Altura Final - cm</t>
  </si>
  <si>
    <t xml:space="preserve">Расчетная высота - см</t>
  </si>
  <si>
    <t xml:space="preserve">Altura final (cm)</t>
  </si>
  <si>
    <r>
      <rPr>
        <sz val="10"/>
        <color rgb="FF0000FF"/>
        <rFont val="Nimbus Sans"/>
        <family val="2"/>
      </rPr>
      <t xml:space="preserve">最终高度</t>
    </r>
    <r>
      <rPr>
        <sz val="10"/>
        <color rgb="FF0000FF"/>
        <rFont val="Arial"/>
        <family val="2"/>
        <charset val="1"/>
      </rPr>
      <t xml:space="preserve">-cm</t>
    </r>
  </si>
  <si>
    <t xml:space="preserve">Tinggi akhir-cm</t>
  </si>
  <si>
    <t xml:space="preserve">For Cut Core Only</t>
  </si>
  <si>
    <t xml:space="preserve">Sólo para Testigo Cortado</t>
  </si>
  <si>
    <t xml:space="preserve">Только для способа резки керна</t>
  </si>
  <si>
    <t xml:space="preserve">Somente para "Cut Core"</t>
  </si>
  <si>
    <t xml:space="preserve">仅对切割岩芯</t>
  </si>
  <si>
    <t xml:space="preserve">Hanya untuk pemotongan inti</t>
  </si>
  <si>
    <t xml:space="preserve">Gaps (mm)</t>
  </si>
  <si>
    <t xml:space="preserve">Altura Residual (mm)</t>
  </si>
  <si>
    <t xml:space="preserve">Остаточная высота (мм)</t>
  </si>
  <si>
    <t xml:space="preserve">Aberturas (mm)</t>
  </si>
  <si>
    <r>
      <rPr>
        <sz val="10"/>
        <color rgb="FF0000FF"/>
        <rFont val="Nimbus Sans"/>
        <family val="2"/>
      </rPr>
      <t xml:space="preserve">间隙（</t>
    </r>
    <r>
      <rPr>
        <sz val="10"/>
        <color rgb="FF0000FF"/>
        <rFont val="Arial"/>
        <family val="2"/>
        <charset val="1"/>
      </rPr>
      <t xml:space="preserve">mm</t>
    </r>
    <r>
      <rPr>
        <sz val="10"/>
        <color rgb="FF0000FF"/>
        <rFont val="Nimbus Sans"/>
        <family val="2"/>
      </rPr>
      <t xml:space="preserve">）</t>
    </r>
  </si>
  <si>
    <t xml:space="preserve">Celah (mm)</t>
  </si>
  <si>
    <t xml:space="preserve">Half Core</t>
  </si>
  <si>
    <t xml:space="preserve">Medio Testigo</t>
  </si>
  <si>
    <t xml:space="preserve">Meio testemunho</t>
  </si>
  <si>
    <t xml:space="preserve">半块岩芯</t>
  </si>
  <si>
    <t xml:space="preserve">1/2 Core</t>
  </si>
  <si>
    <t xml:space="preserve">Increase particle tolerance from 30% to 35% before proceding with reduced particle numbers.</t>
  </si>
  <si>
    <t xml:space="preserve">Aumente la tolerancia desde 30% hasta 35% antes de continuar si el número de partículas es reducido</t>
  </si>
  <si>
    <t xml:space="preserve">Увеличьте допустимое отклонение массы куска с 30% до 35% при работе с меньшим количеством кусков.</t>
  </si>
  <si>
    <t xml:space="preserve">Aumentar a tolerância das partículas de 30% para 35% antes de processar com um número reduzido de partículas.</t>
  </si>
  <si>
    <r>
      <rPr>
        <sz val="10"/>
        <color rgb="FF0000FF"/>
        <rFont val="Nimbus Sans"/>
        <family val="2"/>
      </rPr>
      <t xml:space="preserve">在矿粒数减少之前，矿粒质量范围从</t>
    </r>
    <r>
      <rPr>
        <sz val="10"/>
        <color rgb="FF0000FF"/>
        <rFont val="Arial"/>
        <family val="2"/>
        <charset val="1"/>
      </rPr>
      <t xml:space="preserve">30%</t>
    </r>
    <r>
      <rPr>
        <sz val="10"/>
        <color rgb="FF0000FF"/>
        <rFont val="Nimbus Sans"/>
        <family val="2"/>
      </rPr>
      <t xml:space="preserve">增加到</t>
    </r>
    <r>
      <rPr>
        <sz val="10"/>
        <color rgb="FF0000FF"/>
        <rFont val="Arial"/>
        <family val="2"/>
        <charset val="1"/>
      </rPr>
      <t xml:space="preserve">35%</t>
    </r>
    <r>
      <rPr>
        <sz val="10"/>
        <color rgb="FF0000FF"/>
        <rFont val="Nimbus Sans"/>
        <family val="2"/>
      </rPr>
      <t xml:space="preserve">之后。</t>
    </r>
  </si>
  <si>
    <t xml:space="preserve">Naikan toleransi dari 30 ke 35% sebelum mengurangi jumlah partkel</t>
  </si>
  <si>
    <t xml:space="preserve">Language:</t>
  </si>
  <si>
    <t xml:space="preserve">Idioma:</t>
  </si>
  <si>
    <t xml:space="preserve">Язык:</t>
  </si>
  <si>
    <t xml:space="preserve">语言</t>
  </si>
  <si>
    <t xml:space="preserve">Bahasa :</t>
  </si>
  <si>
    <t xml:space="preserve">Larger Particle Sets Specification:</t>
  </si>
  <si>
    <t xml:space="preserve">Especificación de sets de partículas grandes:</t>
  </si>
  <si>
    <t xml:space="preserve">Спецификация бóльших наборов кусков:</t>
  </si>
  <si>
    <t xml:space="preserve">Especificação do conjunto de partículas grandes:</t>
  </si>
  <si>
    <t xml:space="preserve">较大矿粒集规格参数</t>
  </si>
  <si>
    <t xml:space="preserve">Spesifikasi Partikel Besar</t>
  </si>
  <si>
    <t xml:space="preserve">Length</t>
  </si>
  <si>
    <t xml:space="preserve">Largo</t>
  </si>
  <si>
    <t xml:space="preserve">Длина</t>
  </si>
  <si>
    <t xml:space="preserve">Comprimento</t>
  </si>
  <si>
    <t xml:space="preserve">长度</t>
  </si>
  <si>
    <t xml:space="preserve">Panjang</t>
  </si>
  <si>
    <t xml:space="preserve">Length (mm)</t>
  </si>
  <si>
    <t xml:space="preserve">Largo (mm)</t>
  </si>
  <si>
    <t xml:space="preserve">Длина (мм)</t>
  </si>
  <si>
    <t xml:space="preserve">Comprimento (mm)</t>
  </si>
  <si>
    <r>
      <rPr>
        <sz val="10"/>
        <color rgb="FF0000FF"/>
        <rFont val="Nimbus Sans"/>
        <family val="2"/>
      </rPr>
      <t xml:space="preserve">长度（</t>
    </r>
    <r>
      <rPr>
        <sz val="10"/>
        <color rgb="FF0000FF"/>
        <rFont val="Arial"/>
        <family val="2"/>
        <charset val="1"/>
      </rPr>
      <t xml:space="preserve">mm</t>
    </r>
    <r>
      <rPr>
        <sz val="10"/>
        <color rgb="FF0000FF"/>
        <rFont val="Nimbus Sans"/>
        <family val="2"/>
      </rPr>
      <t xml:space="preserve">）</t>
    </r>
  </si>
  <si>
    <t xml:space="preserve">Panjang (mm)</t>
  </si>
  <si>
    <t xml:space="preserve">Length to cut for req'd mass (mm) =</t>
  </si>
  <si>
    <t xml:space="preserve">Largo a cortar para peso requerido (mm) =</t>
  </si>
  <si>
    <t xml:space="preserve">Длина резания для получ. необх. массы (мм)</t>
  </si>
  <si>
    <t xml:space="preserve">Comprimento do corte para massa estipulada (mm) = </t>
  </si>
  <si>
    <r>
      <rPr>
        <sz val="10"/>
        <color rgb="FF0000FF"/>
        <rFont val="Nimbus Sans"/>
        <family val="2"/>
      </rPr>
      <t xml:space="preserve">按要求质量切割的长度（</t>
    </r>
    <r>
      <rPr>
        <sz val="10"/>
        <color rgb="FF0000FF"/>
        <rFont val="Arial"/>
        <family val="2"/>
        <charset val="1"/>
      </rPr>
      <t xml:space="preserve">mm</t>
    </r>
    <r>
      <rPr>
        <sz val="10"/>
        <color rgb="FF0000FF"/>
        <rFont val="Nimbus Sans"/>
        <family val="2"/>
      </rPr>
      <t xml:space="preserve">）</t>
    </r>
    <r>
      <rPr>
        <sz val="10"/>
        <color rgb="FF0000FF"/>
        <rFont val="Arial"/>
        <family val="2"/>
        <charset val="1"/>
      </rPr>
      <t xml:space="preserve">=</t>
    </r>
  </si>
  <si>
    <t xml:space="preserve">Panjang pemotongan sesuai berat yg diminta (mm)</t>
  </si>
  <si>
    <t xml:space="preserve">Less than 100 Particles Selected</t>
  </si>
  <si>
    <t xml:space="preserve">Menor a 100 Partic. Seleccionadas</t>
  </si>
  <si>
    <t xml:space="preserve">Выбрано менее 100 кусков</t>
  </si>
  <si>
    <t xml:space="preserve">Menos de 100 partículas selecionadas</t>
  </si>
  <si>
    <r>
      <rPr>
        <sz val="10"/>
        <color rgb="FF0000FF"/>
        <rFont val="Nimbus Sans"/>
        <family val="2"/>
      </rPr>
      <t xml:space="preserve">选择的矿粒少于</t>
    </r>
    <r>
      <rPr>
        <sz val="10"/>
        <color rgb="FF0000FF"/>
        <rFont val="Arial"/>
        <family val="2"/>
        <charset val="1"/>
      </rPr>
      <t xml:space="preserve">100</t>
    </r>
    <r>
      <rPr>
        <sz val="10"/>
        <color rgb="FF0000FF"/>
        <rFont val="Nimbus Sans"/>
        <family val="2"/>
      </rPr>
      <t xml:space="preserve">个</t>
    </r>
  </si>
  <si>
    <t xml:space="preserve">Kurang dari 100 partikel yang dipilih</t>
  </si>
  <si>
    <t xml:space="preserve">Lower (g)</t>
  </si>
  <si>
    <t xml:space="preserve">Inferior (g)</t>
  </si>
  <si>
    <t xml:space="preserve">Min (г)</t>
  </si>
  <si>
    <t xml:space="preserve">Menor (g)</t>
  </si>
  <si>
    <r>
      <rPr>
        <sz val="10"/>
        <color rgb="FF0000FF"/>
        <rFont val="Nimbus Sans"/>
        <family val="2"/>
      </rPr>
      <t xml:space="preserve">质量下限（</t>
    </r>
    <r>
      <rPr>
        <sz val="10"/>
        <color rgb="FF0000FF"/>
        <rFont val="Arial"/>
        <family val="2"/>
        <charset val="1"/>
      </rPr>
      <t xml:space="preserve">g</t>
    </r>
    <r>
      <rPr>
        <sz val="10"/>
        <color rgb="FF0000FF"/>
        <rFont val="Nimbus Sans"/>
        <family val="2"/>
      </rPr>
      <t xml:space="preserve">）</t>
    </r>
  </si>
  <si>
    <t xml:space="preserve">Berat yg lebih rendah (g)</t>
  </si>
  <si>
    <t xml:space="preserve">Lower Limit for Average Particle Mass (g):</t>
  </si>
  <si>
    <t xml:space="preserve">Límite Inferior Masa Promedio de Partícula (g):</t>
  </si>
  <si>
    <t xml:space="preserve">Нижняя граница средней массы (г):</t>
  </si>
  <si>
    <t xml:space="preserve">Limite inferior para massa média de partículas (g):</t>
  </si>
  <si>
    <r>
      <rPr>
        <sz val="10"/>
        <color rgb="FF0000FF"/>
        <rFont val="Nimbus Sans"/>
        <family val="2"/>
      </rPr>
      <t xml:space="preserve">矿粒平均质量下限值（</t>
    </r>
    <r>
      <rPr>
        <sz val="10"/>
        <color rgb="FF0000FF"/>
        <rFont val="Arial"/>
        <family val="2"/>
        <charset val="1"/>
      </rPr>
      <t xml:space="preserve">g</t>
    </r>
    <r>
      <rPr>
        <sz val="10"/>
        <color rgb="FF0000FF"/>
        <rFont val="Nimbus Sans"/>
        <family val="2"/>
      </rPr>
      <t xml:space="preserve">）</t>
    </r>
  </si>
  <si>
    <t xml:space="preserve">Batas terendah Berat Partikel Rata Rata (g)</t>
  </si>
  <si>
    <t xml:space="preserve">Lower Limit for Set Mass (g):</t>
  </si>
  <si>
    <t xml:space="preserve">Límite Inferior para la Masa Conjunto (g):</t>
  </si>
  <si>
    <t xml:space="preserve">Min масса набора (g):</t>
  </si>
  <si>
    <t xml:space="preserve">Limite mais baixo para a massa do conjunto (g):</t>
  </si>
  <si>
    <r>
      <rPr>
        <sz val="10"/>
        <color rgb="FF0000FF"/>
        <rFont val="Nimbus Sans"/>
        <family val="2"/>
      </rPr>
      <t xml:space="preserve">一套矿粒下限质量（</t>
    </r>
    <r>
      <rPr>
        <sz val="10"/>
        <color rgb="FF0000FF"/>
        <rFont val="Arial"/>
        <family val="2"/>
        <charset val="1"/>
      </rPr>
      <t xml:space="preserve">g</t>
    </r>
    <r>
      <rPr>
        <sz val="10"/>
        <color rgb="FF0000FF"/>
        <rFont val="Nimbus Sans"/>
        <family val="2"/>
      </rPr>
      <t xml:space="preserve">）：</t>
    </r>
  </si>
  <si>
    <t xml:space="preserve">Batas terendah Berat yg ditentukan (g)</t>
  </si>
  <si>
    <t xml:space="preserve">Machine ID:</t>
  </si>
  <si>
    <t xml:space="preserve">Máquina ID:</t>
  </si>
  <si>
    <t xml:space="preserve">Машина ID:</t>
  </si>
  <si>
    <t xml:space="preserve">设备编号 ：</t>
  </si>
  <si>
    <t xml:space="preserve">Nomer Mesin</t>
  </si>
  <si>
    <t xml:space="preserve">Make up particle sets to be within the mass range specifications below:</t>
  </si>
  <si>
    <t xml:space="preserve">Ajuste los sets de partículas para que calcen dentro del rango de masa especificado abajo:</t>
  </si>
  <si>
    <t xml:space="preserve">Составьте наборы кусков в соответствии со спецификациями ниже:</t>
  </si>
  <si>
    <t xml:space="preserve">Preparar conjunto de partículas de acordo com a faixa de massa especificada abaixo:</t>
  </si>
  <si>
    <t xml:space="preserve">矿粒集的组成在如下规格范围内</t>
  </si>
  <si>
    <t xml:space="preserve">Partikel yg ditambahkan harus berada pada rentang spesifikasi dibawah ini</t>
  </si>
  <si>
    <t xml:space="preserve">Mass</t>
  </si>
  <si>
    <t xml:space="preserve">Masa</t>
  </si>
  <si>
    <t xml:space="preserve">Масса</t>
  </si>
  <si>
    <t xml:space="preserve">Massa</t>
  </si>
  <si>
    <t xml:space="preserve">质量</t>
  </si>
  <si>
    <t xml:space="preserve">Berat</t>
  </si>
  <si>
    <t xml:space="preserve">Mass (g)</t>
  </si>
  <si>
    <t xml:space="preserve">Masa (g)</t>
  </si>
  <si>
    <t xml:space="preserve">Масса (г)</t>
  </si>
  <si>
    <t xml:space="preserve">Massa (g)</t>
  </si>
  <si>
    <r>
      <rPr>
        <sz val="10"/>
        <color rgb="FF0000FF"/>
        <rFont val="Nimbus Sans"/>
        <family val="2"/>
      </rPr>
      <t xml:space="preserve">质量（</t>
    </r>
    <r>
      <rPr>
        <sz val="10"/>
        <color rgb="FF0000FF"/>
        <rFont val="Arial"/>
        <family val="2"/>
        <charset val="1"/>
      </rPr>
      <t xml:space="preserve">g</t>
    </r>
    <r>
      <rPr>
        <sz val="10"/>
        <color rgb="FF0000FF"/>
        <rFont val="Nimbus Sans"/>
        <family val="2"/>
      </rPr>
      <t xml:space="preserve">）</t>
    </r>
  </si>
  <si>
    <t xml:space="preserve">Berat (g)</t>
  </si>
  <si>
    <t xml:space="preserve">Maximum (cu. cm)</t>
  </si>
  <si>
    <t xml:space="preserve">Máximo (cu. cm)</t>
  </si>
  <si>
    <t xml:space="preserve">Максимум (см3)</t>
  </si>
  <si>
    <t xml:space="preserve">Máximo (cu.cm)</t>
  </si>
  <si>
    <r>
      <rPr>
        <sz val="10"/>
        <color rgb="FF0000FF"/>
        <rFont val="Nimbus Sans"/>
        <family val="2"/>
      </rPr>
      <t xml:space="preserve">最大值（</t>
    </r>
    <r>
      <rPr>
        <sz val="10"/>
        <color rgb="FF0000FF"/>
        <rFont val="Arial"/>
        <family val="2"/>
        <charset val="1"/>
      </rPr>
      <t xml:space="preserve">cu.cm</t>
    </r>
    <r>
      <rPr>
        <sz val="10"/>
        <color rgb="FF0000FF"/>
        <rFont val="Nimbus Sans"/>
        <family val="2"/>
      </rPr>
      <t xml:space="preserve">）</t>
    </r>
  </si>
  <si>
    <t xml:space="preserve">Maksimum (cm3)</t>
  </si>
  <si>
    <t xml:space="preserve">Maximum (mm)</t>
  </si>
  <si>
    <t xml:space="preserve">Máximo (mm)</t>
  </si>
  <si>
    <t xml:space="preserve">Максимум (мм)</t>
  </si>
  <si>
    <r>
      <rPr>
        <sz val="10"/>
        <color rgb="FF0000FF"/>
        <rFont val="Nimbus Sans"/>
        <family val="2"/>
      </rPr>
      <t xml:space="preserve">最大值（</t>
    </r>
    <r>
      <rPr>
        <sz val="10"/>
        <color rgb="FF0000FF"/>
        <rFont val="Arial"/>
        <family val="2"/>
        <charset val="1"/>
      </rPr>
      <t xml:space="preserve">mm</t>
    </r>
    <r>
      <rPr>
        <sz val="10"/>
        <color rgb="FF0000FF"/>
        <rFont val="Nimbus Sans"/>
        <family val="2"/>
      </rPr>
      <t xml:space="preserve">）</t>
    </r>
  </si>
  <si>
    <t xml:space="preserve">Maksimum (mm)</t>
  </si>
  <si>
    <t xml:space="preserve">Mean</t>
  </si>
  <si>
    <t xml:space="preserve">Media</t>
  </si>
  <si>
    <t xml:space="preserve">Среднее</t>
  </si>
  <si>
    <t xml:space="preserve">平均值</t>
  </si>
  <si>
    <t xml:space="preserve">Ukuran Tengah</t>
  </si>
  <si>
    <t xml:space="preserve">Mean Mass (g)</t>
  </si>
  <si>
    <t xml:space="preserve">Masa Media (g)</t>
  </si>
  <si>
    <t xml:space="preserve">Средняя масса (г)</t>
  </si>
  <si>
    <t xml:space="preserve">Massa Média (g)</t>
  </si>
  <si>
    <r>
      <rPr>
        <sz val="10"/>
        <color rgb="FF0000FF"/>
        <rFont val="Nimbus Sans"/>
        <family val="2"/>
      </rPr>
      <t xml:space="preserve">平均质量（</t>
    </r>
    <r>
      <rPr>
        <sz val="10"/>
        <color rgb="FF0000FF"/>
        <rFont val="Arial"/>
        <family val="2"/>
        <charset val="1"/>
      </rPr>
      <t xml:space="preserve">g</t>
    </r>
    <r>
      <rPr>
        <sz val="10"/>
        <color rgb="FF0000FF"/>
        <rFont val="Nimbus Sans"/>
        <family val="2"/>
      </rPr>
      <t xml:space="preserve">）</t>
    </r>
  </si>
  <si>
    <t xml:space="preserve">Ukuran Tengah dari Berat (g)</t>
  </si>
  <si>
    <t xml:space="preserve">Mean SG</t>
  </si>
  <si>
    <t xml:space="preserve">Media SG</t>
  </si>
  <si>
    <t xml:space="preserve">Средняя плотность</t>
  </si>
  <si>
    <t xml:space="preserve">SG Média</t>
  </si>
  <si>
    <t xml:space="preserve">平均密度</t>
  </si>
  <si>
    <t xml:space="preserve">Ukuran Tengah Berat Jenis</t>
  </si>
  <si>
    <t xml:space="preserve">Measured Rock Density (g/cc):</t>
  </si>
  <si>
    <t xml:space="preserve">Densidad medida de la roca (g/cc):</t>
  </si>
  <si>
    <t xml:space="preserve">Измеренная плотность (г/см3)</t>
  </si>
  <si>
    <t xml:space="preserve">Densidade de Rocha Medida (g/cc):</t>
  </si>
  <si>
    <r>
      <rPr>
        <sz val="10"/>
        <color rgb="FF0000FF"/>
        <rFont val="Nimbus Sans"/>
        <family val="2"/>
      </rPr>
      <t xml:space="preserve">岩石密度测量值（</t>
    </r>
    <r>
      <rPr>
        <sz val="10"/>
        <color rgb="FF0000FF"/>
        <rFont val="Arial"/>
        <family val="2"/>
        <charset val="1"/>
      </rPr>
      <t xml:space="preserve">g/cc</t>
    </r>
    <r>
      <rPr>
        <sz val="10"/>
        <color rgb="FF0000FF"/>
        <rFont val="Nimbus Sans"/>
        <family val="2"/>
      </rPr>
      <t xml:space="preserve">）</t>
    </r>
  </si>
  <si>
    <t xml:space="preserve">Berat Jenis Batuan Yg Terukur</t>
  </si>
  <si>
    <t xml:space="preserve">Measured Wts</t>
  </si>
  <si>
    <t xml:space="preserve">Pesos Medidos</t>
  </si>
  <si>
    <t xml:space="preserve">Массы грузов (кг)</t>
  </si>
  <si>
    <t xml:space="preserve">测量质量</t>
  </si>
  <si>
    <t xml:space="preserve">Berat Terukur</t>
  </si>
  <si>
    <t xml:space="preserve">Minimum (cu. cm)</t>
  </si>
  <si>
    <t xml:space="preserve">Mínimo (cu. cm)</t>
  </si>
  <si>
    <t xml:space="preserve">Минимум (см3)</t>
  </si>
  <si>
    <t xml:space="preserve">Mínimo (cu.cm)</t>
  </si>
  <si>
    <r>
      <rPr>
        <sz val="10"/>
        <color rgb="FF0000FF"/>
        <rFont val="Nimbus Sans"/>
        <family val="2"/>
      </rPr>
      <t xml:space="preserve">最小值</t>
    </r>
    <r>
      <rPr>
        <sz val="10"/>
        <color rgb="FF0000FF"/>
        <rFont val="Arial"/>
        <family val="2"/>
        <charset val="1"/>
      </rPr>
      <t xml:space="preserve">(cu. cm)</t>
    </r>
  </si>
  <si>
    <t xml:space="preserve">Minimum (Cm3)</t>
  </si>
  <si>
    <t xml:space="preserve">Minimum (mm)</t>
  </si>
  <si>
    <t xml:space="preserve">Mínimo (mm)</t>
  </si>
  <si>
    <t xml:space="preserve">Минимум (мм)</t>
  </si>
  <si>
    <r>
      <rPr>
        <sz val="10"/>
        <color rgb="FF0000FF"/>
        <rFont val="Nimbus Sans"/>
        <family val="2"/>
      </rPr>
      <t xml:space="preserve">最小值（</t>
    </r>
    <r>
      <rPr>
        <sz val="10"/>
        <color rgb="FF0000FF"/>
        <rFont val="Arial"/>
        <family val="2"/>
        <charset val="1"/>
      </rPr>
      <t xml:space="preserve">mm</t>
    </r>
    <r>
      <rPr>
        <sz val="10"/>
        <color rgb="FF0000FF"/>
        <rFont val="Nimbus Sans"/>
        <family val="2"/>
      </rPr>
      <t xml:space="preserve">）</t>
    </r>
  </si>
  <si>
    <t xml:space="preserve">No. of Particles</t>
  </si>
  <si>
    <t xml:space="preserve">Nº de Partículas</t>
  </si>
  <si>
    <t xml:space="preserve">No. de partículas</t>
  </si>
  <si>
    <t xml:space="preserve">矿粒数</t>
  </si>
  <si>
    <t xml:space="preserve">No. of Pieces</t>
  </si>
  <si>
    <t xml:space="preserve">No. de peças</t>
  </si>
  <si>
    <t xml:space="preserve">矿块数</t>
  </si>
  <si>
    <t xml:space="preserve">Jumlah Bagian</t>
  </si>
  <si>
    <t xml:space="preserve">No. of Sets</t>
  </si>
  <si>
    <t xml:space="preserve">Nº de Sets</t>
  </si>
  <si>
    <t xml:space="preserve">кол-во наборов</t>
  </si>
  <si>
    <t xml:space="preserve">No. de conjuntos</t>
  </si>
  <si>
    <t xml:space="preserve">组数目</t>
  </si>
  <si>
    <t xml:space="preserve">Jumlah Kelompok</t>
  </si>
  <si>
    <t xml:space="preserve">Nominal Core Diam. (mm)</t>
  </si>
  <si>
    <t xml:space="preserve">Diámetro Nominal del Testigo (mm)</t>
  </si>
  <si>
    <t xml:space="preserve">Номин. диаметр керна (мм) </t>
  </si>
  <si>
    <t xml:space="preserve">Diâmetro nominal (mm)</t>
  </si>
  <si>
    <r>
      <rPr>
        <sz val="10"/>
        <color rgb="FF0000FF"/>
        <rFont val="Nimbus Sans"/>
        <family val="2"/>
      </rPr>
      <t xml:space="preserve">岩芯名义直径（</t>
    </r>
    <r>
      <rPr>
        <sz val="10"/>
        <color rgb="FF0000FF"/>
        <rFont val="Arial"/>
        <family val="2"/>
        <charset val="1"/>
      </rPr>
      <t xml:space="preserve">mm</t>
    </r>
    <r>
      <rPr>
        <sz val="10"/>
        <color rgb="FF0000FF"/>
        <rFont val="Nimbus Sans"/>
        <family val="2"/>
      </rPr>
      <t xml:space="preserve">）</t>
    </r>
  </si>
  <si>
    <t xml:space="preserve">Diameter nominal core</t>
  </si>
  <si>
    <t xml:space="preserve">Not Applicable</t>
  </si>
  <si>
    <t xml:space="preserve">No Aplica</t>
  </si>
  <si>
    <t xml:space="preserve">не применимо</t>
  </si>
  <si>
    <t xml:space="preserve">Não aplicável</t>
  </si>
  <si>
    <t xml:space="preserve">无效</t>
  </si>
  <si>
    <t xml:space="preserve">Tidak Berlaku</t>
  </si>
  <si>
    <t xml:space="preserve">Note:  If you are using Crush &amp; Select method, weigh the pieces of rock or core together in a wire basket, in one or more batches.  In this case, you will not need all 10 lines - just fill in the number required.</t>
  </si>
  <si>
    <t xml:space="preserve">Nota: Si usted está utilizando el método de Chancado y Selección, pese las partículas de roca juntas en una cesta del alambre, en una o más veces.  En este caso, usted no necesitará las 10 líneas - sólo complete el número requerido.</t>
  </si>
  <si>
    <t xml:space="preserve">Примечание: если используется метод отбора кусков, взвесьте куски совместно в проволочной корзине, за один или несколько приемов. В этом случае нет необходимости заполнять все 10 строк - только необходимое количество.</t>
  </si>
  <si>
    <t xml:space="preserve">Nota: Se você está utilizando o modo Crush &amp; Select, pese os pedaços de rocha ou os testemunhos juntos em uma cesta, em um ou mais lotes. Neste caso, não será necessário todas as 10 linhas - preencha somente no número necessário</t>
  </si>
  <si>
    <r>
      <rPr>
        <sz val="10"/>
        <color rgb="FF0000FF"/>
        <rFont val="Nimbus Sans"/>
        <family val="2"/>
      </rPr>
      <t xml:space="preserve">注：使用破碎、筛分、选择制样法时，可以把多块岩石或岩芯一起放在铁丝篮里分一次或多批次称重。在这种情况下，您将不必将整个</t>
    </r>
    <r>
      <rPr>
        <sz val="10"/>
        <color rgb="FF0000FF"/>
        <rFont val="Arial"/>
        <family val="2"/>
        <charset val="1"/>
      </rPr>
      <t xml:space="preserve">10</t>
    </r>
    <r>
      <rPr>
        <sz val="10"/>
        <color rgb="FF0000FF"/>
        <rFont val="Nimbus Sans"/>
        <family val="2"/>
      </rPr>
      <t xml:space="preserve">行填完</t>
    </r>
    <r>
      <rPr>
        <sz val="10"/>
        <color rgb="FF0000FF"/>
        <rFont val="Arial"/>
        <family val="2"/>
        <charset val="1"/>
      </rPr>
      <t xml:space="preserve">-</t>
    </r>
    <r>
      <rPr>
        <sz val="10"/>
        <color rgb="FF0000FF"/>
        <rFont val="Nimbus Sans"/>
        <family val="2"/>
      </rPr>
      <t xml:space="preserve">只需填写需要的数量。</t>
    </r>
  </si>
  <si>
    <t xml:space="preserve">Catatan : Jika anda menggunakan crush &amp; memilih metode timbang bagian batu atau core dalam keranjang kawat, dalam satu kumpulan atau lebih. Maka dalam hal ini, anda tidak memerlukan keseluruhan 10 baris itu - cukup isi pada nomor yang diperlukan saja.</t>
  </si>
  <si>
    <t xml:space="preserve">NOTE:  You must enter the weights and select the weight combinations on the DW Testing sheet before you print this out.</t>
  </si>
  <si>
    <t xml:space="preserve">NOTA: Usted debe ingresar los pesos y seleccionar las combinaciones de pesos en la hoja DW Testing antes de imprimir.</t>
  </si>
  <si>
    <t xml:space="preserve">Примечание: перед распечаткой данного листа необходимо выбрать сочетания масс и высот на листе "Тестирование DW"</t>
  </si>
  <si>
    <t xml:space="preserve">NOTA: Insira os pesos e selecione a combinação de pesos na planilha do DWT antes de imprimir.</t>
  </si>
  <si>
    <t xml:space="preserve">注意：您必须输入重量，并对落重测试表选择重量组合，然后再打印出来。</t>
  </si>
  <si>
    <t xml:space="preserve">Catatan : Anda harus memasukan data berat dan pilih berat kombinasi pada Lembar DW Testing sebelum di cetak</t>
  </si>
  <si>
    <t xml:space="preserve">Note: 30% is the default tolerance on individual particle masses.  You should only increase this to 35% if necessary to get the required number of particles.</t>
  </si>
  <si>
    <t xml:space="preserve">Nota: el 30% es la tolerancia por defecto en masas de partícula individuales. Usted la debe aumentar  hasta el 35% solamente en caso de ser necesario para conseguir el número requerido de partículas.</t>
  </si>
  <si>
    <t xml:space="preserve">Примечание: 30% допуск значения по умолчанию на индивидуальных массах частицы. Вы должны только увеличить допуск до 35% если необходимо, чтобы получить необходимое число частиц.</t>
  </si>
  <si>
    <t xml:space="preserve">Nota: 30% é a Default tolerância (padrao) para as massas individuais de partícula. Você deve somente aumentar este valor para 35% caso seja necessario para obter o numero requerido de particulas.</t>
  </si>
  <si>
    <r>
      <rPr>
        <sz val="10"/>
        <color rgb="FF0000FF"/>
        <rFont val="Nimbus Sans"/>
        <family val="2"/>
      </rPr>
      <t xml:space="preserve">注： 单个颗粒重量的上下</t>
    </r>
    <r>
      <rPr>
        <sz val="10"/>
        <color rgb="FF0000FF"/>
        <rFont val="Arial"/>
        <family val="2"/>
        <charset val="1"/>
      </rPr>
      <t xml:space="preserve">30%</t>
    </r>
    <r>
      <rPr>
        <sz val="10"/>
        <color rgb="FF0000FF"/>
        <rFont val="Nimbus Sans"/>
        <family val="2"/>
      </rPr>
      <t xml:space="preserve">是预定的颗粒重量限度。只能将此极限增加到</t>
    </r>
    <r>
      <rPr>
        <sz val="10"/>
        <color rgb="FF0000FF"/>
        <rFont val="Arial"/>
        <family val="2"/>
        <charset val="1"/>
      </rPr>
      <t xml:space="preserve">35%</t>
    </r>
    <r>
      <rPr>
        <sz val="10"/>
        <color rgb="FF0000FF"/>
        <rFont val="Nimbus Sans"/>
        <family val="2"/>
      </rPr>
      <t xml:space="preserve">以便得到颗粒所需的数量。</t>
    </r>
  </si>
  <si>
    <t xml:space="preserve">Catatan : 30% adalah batas toleransi yang telah ditentukan pada berat partikel individu. Anda hanya cukup menaikan sampai 35% bila diperlukan untuk mendapatkanjumlah partikel yang diperlukan.</t>
  </si>
  <si>
    <t xml:space="preserve">Note: Test carried out with selection tolerance increased to 35% and number of particles reduced to </t>
  </si>
  <si>
    <t xml:space="preserve">Примечание: тест проведен при увеличении допустимого отклонения массы до 35% и снижении количества кусков до</t>
  </si>
  <si>
    <t xml:space="preserve">Nota: Teste efetuado com tolerância de seleção aumentada para 35%</t>
  </si>
  <si>
    <r>
      <rPr>
        <sz val="10"/>
        <color rgb="FF0000FF"/>
        <rFont val="Nimbus Sans"/>
        <family val="2"/>
      </rPr>
      <t xml:space="preserve">注：试验选择容限增加至</t>
    </r>
    <r>
      <rPr>
        <sz val="10"/>
        <color rgb="FF0000FF"/>
        <rFont val="Arial"/>
        <family val="2"/>
        <charset val="1"/>
      </rPr>
      <t xml:space="preserve">35</t>
    </r>
    <r>
      <rPr>
        <sz val="10"/>
        <color rgb="FF0000FF"/>
        <rFont val="Nimbus Sans"/>
        <family val="2"/>
      </rPr>
      <t xml:space="preserve">％进行并且减少矿粒数</t>
    </r>
  </si>
  <si>
    <t xml:space="preserve">Catatan : Percobaan dilakukan penambahan toleransi yang dipilih sampai dengan 35% dan jumlah partikel yang dikurangi sampai</t>
  </si>
  <si>
    <t xml:space="preserve">Note: Test carried out with selection tolerance increased to 35%.</t>
  </si>
  <si>
    <t xml:space="preserve">Note: Test carried out with selection tolerance increased to 35%</t>
  </si>
  <si>
    <t xml:space="preserve">Примечание: тест проведен при увеличении допустимого отклонения массы до 35%</t>
  </si>
  <si>
    <t xml:space="preserve">Nota: Teste efetuado com tolerância de seleção aumentada para 35% e número de partículas reduzido para</t>
  </si>
  <si>
    <r>
      <rPr>
        <sz val="10"/>
        <color rgb="FF0000FF"/>
        <rFont val="Nimbus Sans"/>
        <family val="2"/>
      </rPr>
      <t xml:space="preserve">注：试验选择容限增加至</t>
    </r>
    <r>
      <rPr>
        <sz val="10"/>
        <color rgb="FF0000FF"/>
        <rFont val="Arial"/>
        <family val="2"/>
        <charset val="1"/>
      </rPr>
      <t xml:space="preserve">35</t>
    </r>
    <r>
      <rPr>
        <sz val="10"/>
        <color rgb="FF0000FF"/>
        <rFont val="Nimbus Sans"/>
        <family val="2"/>
      </rPr>
      <t xml:space="preserve">％进行。</t>
    </r>
  </si>
  <si>
    <t xml:space="preserve">Catatan : Percobaan dilakukan penambahan toleransi yang dipilih sampai dengan 35% </t>
  </si>
  <si>
    <t xml:space="preserve">Number Status:</t>
  </si>
  <si>
    <t xml:space="preserve">Status del Número:</t>
  </si>
  <si>
    <t xml:space="preserve">Статус количества:</t>
  </si>
  <si>
    <t xml:space="preserve">Condição do Número:</t>
  </si>
  <si>
    <t xml:space="preserve">数据状况</t>
  </si>
  <si>
    <t xml:space="preserve">Nomor status :</t>
  </si>
  <si>
    <t xml:space="preserve">Operator:</t>
  </si>
  <si>
    <t xml:space="preserve">Operador:</t>
  </si>
  <si>
    <t xml:space="preserve">Оператор:</t>
  </si>
  <si>
    <t xml:space="preserve">试验人员 ：</t>
  </si>
  <si>
    <t xml:space="preserve">Operator :</t>
  </si>
  <si>
    <t xml:space="preserve">Particle</t>
  </si>
  <si>
    <t xml:space="preserve">Partícula</t>
  </si>
  <si>
    <t xml:space="preserve">Кусок</t>
  </si>
  <si>
    <t xml:space="preserve">颗粒</t>
  </si>
  <si>
    <t xml:space="preserve">partikel</t>
  </si>
  <si>
    <t xml:space="preserve">Selección De la Partícula</t>
  </si>
  <si>
    <t xml:space="preserve">Отбор кусков</t>
  </si>
  <si>
    <t xml:space="preserve">Seleção das Partículas</t>
  </si>
  <si>
    <t xml:space="preserve">Particle Selection for Broken Rock Particle Sets - Crush &amp; Select Method</t>
  </si>
  <si>
    <t xml:space="preserve">Selección de Partículas para Sets de Particulas de Roca Fracturada - Método de Chancado y Selección</t>
  </si>
  <si>
    <t xml:space="preserve">Метод отбора кусков - выбор кусков и составление наборов</t>
  </si>
  <si>
    <t xml:space="preserve">Seleção das Partículas para o Conjunto de Partículas de Rocha Quebradas - Método Crush &amp; Select</t>
  </si>
  <si>
    <t xml:space="preserve">破碎、筛分、选择制样法颗粒组的挑选</t>
  </si>
  <si>
    <t xml:space="preserve">Pemilhan partikel untuk kelompok partikel batuan yang hancur</t>
  </si>
  <si>
    <t xml:space="preserve">Particle Set Data</t>
  </si>
  <si>
    <t xml:space="preserve">Datos del Set de Particulas</t>
  </si>
  <si>
    <t xml:space="preserve">Характеристика наборов кусков</t>
  </si>
  <si>
    <t xml:space="preserve">Dados do Conjunto de Partículas</t>
  </si>
  <si>
    <t xml:space="preserve">矿粒组数据</t>
  </si>
  <si>
    <t xml:space="preserve">Data partikel </t>
  </si>
  <si>
    <t xml:space="preserve">Particle Set Masses Data Entry:</t>
  </si>
  <si>
    <t xml:space="preserve">Masa de los Sistemas de la Partícula - Entrada de Datos:</t>
  </si>
  <si>
    <t xml:space="preserve">Ввод массы наборов кусков</t>
  </si>
  <si>
    <t xml:space="preserve">Entrada de Dados de Massa do Conjunto de Partículas:</t>
  </si>
  <si>
    <t xml:space="preserve">矿粒组质量数据输入</t>
  </si>
  <si>
    <t xml:space="preserve">Data massa partikel yang dimasukkan</t>
  </si>
  <si>
    <t xml:space="preserve">Particle Set Results:</t>
  </si>
  <si>
    <t xml:space="preserve">Resultados Set de Partículas</t>
  </si>
  <si>
    <t xml:space="preserve">Resultados do Conjunto de Partículas</t>
  </si>
  <si>
    <t xml:space="preserve">矿粒组数据结果：</t>
  </si>
  <si>
    <t xml:space="preserve">Hasil set partikel</t>
  </si>
  <si>
    <t xml:space="preserve">Particle Sets Specification:</t>
  </si>
  <si>
    <t xml:space="preserve">La Partícula Fija La Especificación:</t>
  </si>
  <si>
    <t xml:space="preserve">Спецификация наборов кусков:</t>
  </si>
  <si>
    <t xml:space="preserve">Especificações do Conjunto de Partículas:</t>
  </si>
  <si>
    <t xml:space="preserve">矿粒组的指定参数：</t>
  </si>
  <si>
    <t xml:space="preserve">Spesifikasi partikel :</t>
  </si>
  <si>
    <t xml:space="preserve">Particles</t>
  </si>
  <si>
    <t xml:space="preserve">Partículas</t>
  </si>
  <si>
    <t xml:space="preserve">Куски</t>
  </si>
  <si>
    <t xml:space="preserve">矿粒</t>
  </si>
  <si>
    <t xml:space="preserve">Partikel</t>
  </si>
  <si>
    <t xml:space="preserve">Particles/Set</t>
  </si>
  <si>
    <t xml:space="preserve">Partículas/Set</t>
  </si>
  <si>
    <t xml:space="preserve">кусков/набор</t>
  </si>
  <si>
    <t xml:space="preserve">Partículas/Conjunto</t>
  </si>
  <si>
    <r>
      <rPr>
        <sz val="10"/>
        <color rgb="FF0000FF"/>
        <rFont val="Nimbus Sans"/>
        <family val="2"/>
      </rPr>
      <t xml:space="preserve">矿粒数</t>
    </r>
    <r>
      <rPr>
        <sz val="10"/>
        <color rgb="FF0000FF"/>
        <rFont val="Arial"/>
        <family val="2"/>
        <charset val="1"/>
      </rPr>
      <t xml:space="preserve">/</t>
    </r>
    <r>
      <rPr>
        <sz val="10"/>
        <color rgb="FF0000FF"/>
        <rFont val="Nimbus Sans"/>
        <family val="2"/>
      </rPr>
      <t xml:space="preserve">组</t>
    </r>
  </si>
  <si>
    <t xml:space="preserve">Partikel/set</t>
  </si>
  <si>
    <t xml:space="preserve">Please re-set the range in the drop-down below.</t>
  </si>
  <si>
    <t xml:space="preserve">Por favor re-ingrese el rango en la lista desplegable de abajo.</t>
  </si>
  <si>
    <t xml:space="preserve">Выберите, пожалуйста, повторно фракцию крупности в выпадающем окне ниже </t>
  </si>
  <si>
    <t xml:space="preserve">Redefinir a faixa na lista abaixo</t>
  </si>
  <si>
    <t xml:space="preserve">请重新在下方的下拉框设置范围。</t>
  </si>
  <si>
    <t xml:space="preserve">Silahkan re-set rentang  drop -down dibawah.</t>
  </si>
  <si>
    <t xml:space="preserve">Preparation of Particle Sets:</t>
  </si>
  <si>
    <t xml:space="preserve">Preparación de Sets de Partículas:</t>
  </si>
  <si>
    <t xml:space="preserve">Подготовка наборов кусков:</t>
  </si>
  <si>
    <t xml:space="preserve">Preparação do conjunto de partículas:</t>
  </si>
  <si>
    <t xml:space="preserve">矿粒组准备：</t>
  </si>
  <si>
    <t xml:space="preserve">Preparasi Kelompok Partikel</t>
  </si>
  <si>
    <t xml:space="preserve">Problem</t>
  </si>
  <si>
    <t xml:space="preserve">Problema</t>
  </si>
  <si>
    <t xml:space="preserve">Проблема</t>
  </si>
  <si>
    <t xml:space="preserve">问题</t>
  </si>
  <si>
    <t xml:space="preserve">Masalah</t>
  </si>
  <si>
    <t xml:space="preserve">Procedimiento</t>
  </si>
  <si>
    <t xml:space="preserve">Методика</t>
  </si>
  <si>
    <t xml:space="preserve">Project Name or Number:</t>
  </si>
  <si>
    <t xml:space="preserve">Nomor / nama project</t>
  </si>
  <si>
    <t xml:space="preserve">Project Number:</t>
  </si>
  <si>
    <t xml:space="preserve">Número de Proyecto:</t>
  </si>
  <si>
    <t xml:space="preserve">Номер проекта:</t>
  </si>
  <si>
    <t xml:space="preserve">Número de Projeto:</t>
  </si>
  <si>
    <t xml:space="preserve">项目总数：</t>
  </si>
  <si>
    <t xml:space="preserve">Nomor project :</t>
  </si>
  <si>
    <t xml:space="preserve">Quartered Core</t>
  </si>
  <si>
    <t xml:space="preserve">Testigo Cuarteado</t>
  </si>
  <si>
    <t xml:space="preserve">Testemunho quarteado</t>
  </si>
  <si>
    <r>
      <rPr>
        <sz val="10"/>
        <color rgb="FF0000FF"/>
        <rFont val="Arial"/>
        <family val="2"/>
        <charset val="1"/>
      </rPr>
      <t xml:space="preserve">1/4</t>
    </r>
    <r>
      <rPr>
        <sz val="10"/>
        <color rgb="FF0000FF"/>
        <rFont val="Nimbus Sans"/>
        <family val="2"/>
      </rPr>
      <t xml:space="preserve">岩芯</t>
    </r>
  </si>
  <si>
    <t xml:space="preserve">1/4 core</t>
  </si>
  <si>
    <t xml:space="preserve">Range</t>
  </si>
  <si>
    <t xml:space="preserve">Gama</t>
  </si>
  <si>
    <t xml:space="preserve">Ряд</t>
  </si>
  <si>
    <t xml:space="preserve">Escala</t>
  </si>
  <si>
    <t xml:space="preserve">范围</t>
  </si>
  <si>
    <t xml:space="preserve">Rentang</t>
  </si>
  <si>
    <t xml:space="preserve">Results</t>
  </si>
  <si>
    <t xml:space="preserve">Resultados</t>
  </si>
  <si>
    <t xml:space="preserve">Результаты</t>
  </si>
  <si>
    <t xml:space="preserve">Resultados </t>
  </si>
  <si>
    <t xml:space="preserve">结果</t>
  </si>
  <si>
    <t xml:space="preserve">Hasil </t>
  </si>
  <si>
    <t xml:space="preserve">Results Summary</t>
  </si>
  <si>
    <t xml:space="preserve">Resumen de Resultados</t>
  </si>
  <si>
    <t xml:space="preserve">Сводные результаты</t>
  </si>
  <si>
    <t xml:space="preserve">Sumário dos Resultados</t>
  </si>
  <si>
    <t xml:space="preserve">结果总结</t>
  </si>
  <si>
    <t xml:space="preserve">Kesimpulan </t>
  </si>
  <si>
    <t xml:space="preserve">Rock Pieces</t>
  </si>
  <si>
    <t xml:space="preserve">Particulas de Roca</t>
  </si>
  <si>
    <t xml:space="preserve">Pedaços de Rocha</t>
  </si>
  <si>
    <t xml:space="preserve">岩石块</t>
  </si>
  <si>
    <t xml:space="preserve">Batuan </t>
  </si>
  <si>
    <t xml:space="preserve">Sample ID:</t>
  </si>
  <si>
    <t xml:space="preserve">Identificación Muestra:</t>
  </si>
  <si>
    <t xml:space="preserve">ID пробы:</t>
  </si>
  <si>
    <t xml:space="preserve">ID da Amostra:</t>
  </si>
  <si>
    <t xml:space="preserve">样品编号</t>
  </si>
  <si>
    <t xml:space="preserve">Identitas Sampel:</t>
  </si>
  <si>
    <t xml:space="preserve">Sample Identification:</t>
  </si>
  <si>
    <t xml:space="preserve">Identificación De Muestra:</t>
  </si>
  <si>
    <t xml:space="preserve">Идентификация пробы:</t>
  </si>
  <si>
    <t xml:space="preserve">Identificação da Amostra:</t>
  </si>
  <si>
    <t xml:space="preserve">样品标识 ：</t>
  </si>
  <si>
    <t xml:space="preserve">Identifikasi sampel ;</t>
  </si>
  <si>
    <t xml:space="preserve">Sample Name:</t>
  </si>
  <si>
    <t xml:space="preserve">Nombre de la Muestra:</t>
  </si>
  <si>
    <t xml:space="preserve">Наименование пробы:</t>
  </si>
  <si>
    <t xml:space="preserve">Nome da Amostra:</t>
  </si>
  <si>
    <t xml:space="preserve">样品名称</t>
  </si>
  <si>
    <t xml:space="preserve">Nama sampel :</t>
  </si>
  <si>
    <t xml:space="preserve">Sample Number:</t>
  </si>
  <si>
    <t xml:space="preserve">Número de Muestra:</t>
  </si>
  <si>
    <t xml:space="preserve">Номер образца:</t>
  </si>
  <si>
    <t xml:space="preserve">Número de Amostra:</t>
  </si>
  <si>
    <t xml:space="preserve">样品号 ：</t>
  </si>
  <si>
    <t xml:space="preserve">Nomor sampel :</t>
  </si>
  <si>
    <t xml:space="preserve">Screen</t>
  </si>
  <si>
    <t xml:space="preserve">Malla</t>
  </si>
  <si>
    <t xml:space="preserve">Сито</t>
  </si>
  <si>
    <t xml:space="preserve">Tela</t>
  </si>
  <si>
    <t xml:space="preserve">筛子</t>
  </si>
  <si>
    <t xml:space="preserve">Ayakan</t>
  </si>
  <si>
    <t xml:space="preserve">Screen Aperture (mm)</t>
  </si>
  <si>
    <t xml:space="preserve">Abertura de la Pantalla (mm)</t>
  </si>
  <si>
    <t xml:space="preserve">Отверстие сита (мм)</t>
  </si>
  <si>
    <t xml:space="preserve">Abertura da Tela (mm)</t>
  </si>
  <si>
    <r>
      <rPr>
        <sz val="10"/>
        <color rgb="FF0000FF"/>
        <rFont val="Nimbus Sans"/>
        <family val="2"/>
      </rPr>
      <t xml:space="preserve">筛孔尺寸（</t>
    </r>
    <r>
      <rPr>
        <sz val="10"/>
        <color rgb="FF0000FF"/>
        <rFont val="Arial"/>
        <family val="2"/>
        <charset val="1"/>
      </rPr>
      <t xml:space="preserve">mm</t>
    </r>
    <r>
      <rPr>
        <sz val="10"/>
        <color rgb="FF0000FF"/>
        <rFont val="Nimbus Sans"/>
        <family val="2"/>
      </rPr>
      <t xml:space="preserve">）</t>
    </r>
  </si>
  <si>
    <t xml:space="preserve">Ukuran Ayakan (mm)</t>
  </si>
  <si>
    <t xml:space="preserve">Select 100 particles between the above mass limits.</t>
  </si>
  <si>
    <t xml:space="preserve">Seleccione 100 partículas entre los límites de masa indicados arriba.</t>
  </si>
  <si>
    <t xml:space="preserve">Выберите 100 частиц между массовыми пределами выше.</t>
  </si>
  <si>
    <t xml:space="preserve">Selecione 100 partículas entre os limites de massa  acima.</t>
  </si>
  <si>
    <r>
      <rPr>
        <sz val="10"/>
        <color rgb="FF0000FF"/>
        <rFont val="Nimbus Sans"/>
        <family val="2"/>
      </rPr>
      <t xml:space="preserve">在重量限度之间选择</t>
    </r>
    <r>
      <rPr>
        <sz val="10"/>
        <color rgb="FF0000FF"/>
        <rFont val="Arial"/>
        <family val="2"/>
        <charset val="1"/>
      </rPr>
      <t xml:space="preserve">100</t>
    </r>
    <r>
      <rPr>
        <sz val="10"/>
        <color rgb="FF0000FF"/>
        <rFont val="Nimbus Sans"/>
        <family val="2"/>
      </rPr>
      <t xml:space="preserve">个颗粒。</t>
    </r>
  </si>
  <si>
    <t xml:space="preserve">Pilih 100 partikel diantara batas massa yang diatas</t>
  </si>
  <si>
    <t xml:space="preserve">Выберите интервал диаметра керна:</t>
  </si>
  <si>
    <t xml:space="preserve">Selecionar a faixa correspondente ao diâmetro do testemunho:</t>
  </si>
  <si>
    <t xml:space="preserve">选择范围，其中包括岩心直径：</t>
  </si>
  <si>
    <t xml:space="preserve">Pilih rentang yang meliputi diameter inti </t>
  </si>
  <si>
    <t xml:space="preserve">Выберите фракцию крупности для тестирования:</t>
  </si>
  <si>
    <t xml:space="preserve">Selecione a faixa granulométrica a ser definida:</t>
  </si>
  <si>
    <t xml:space="preserve">选择试验物料粒度范围：</t>
  </si>
  <si>
    <t xml:space="preserve">Pilih ukuran ayakan yang diinginkan</t>
  </si>
  <si>
    <t xml:space="preserve">Selection of Particles:</t>
  </si>
  <si>
    <t xml:space="preserve">Selección de Partículas:</t>
  </si>
  <si>
    <t xml:space="preserve">Выбор кусков:</t>
  </si>
  <si>
    <t xml:space="preserve">Seleção das Partículas:</t>
  </si>
  <si>
    <t xml:space="preserve">矿粒挑选：</t>
  </si>
  <si>
    <t xml:space="preserve">Pemilihan partikel:</t>
  </si>
  <si>
    <t xml:space="preserve">Set #</t>
  </si>
  <si>
    <t xml:space="preserve">Sistema #</t>
  </si>
  <si>
    <t xml:space="preserve">Набор №</t>
  </si>
  <si>
    <t xml:space="preserve">Conjunto no</t>
  </si>
  <si>
    <t xml:space="preserve">组序号</t>
  </si>
  <si>
    <t xml:space="preserve">Nomer Set</t>
  </si>
  <si>
    <t xml:space="preserve">Set Count:</t>
  </si>
  <si>
    <t xml:space="preserve">Cuenta Sistema</t>
  </si>
  <si>
    <t xml:space="preserve">Contagem do Conjunto:</t>
  </si>
  <si>
    <r>
      <rPr>
        <sz val="10"/>
        <color rgb="FF0000FF"/>
        <rFont val="Nimbus Sans"/>
        <family val="2"/>
      </rPr>
      <t xml:space="preserve">组内颗粒数量</t>
    </r>
    <r>
      <rPr>
        <sz val="10"/>
        <color rgb="FF0000FF"/>
        <rFont val="Arial"/>
        <family val="2"/>
        <charset val="1"/>
      </rPr>
      <t xml:space="preserve">:</t>
    </r>
  </si>
  <si>
    <t xml:space="preserve">Hitungan Yg sudah dhitung</t>
  </si>
  <si>
    <t xml:space="preserve">Set Mass Status:</t>
  </si>
  <si>
    <t xml:space="preserve">Sistema Status de Masa:</t>
  </si>
  <si>
    <t xml:space="preserve">Статус массы набора:</t>
  </si>
  <si>
    <t xml:space="preserve">Condição da Massa do Conjunto</t>
  </si>
  <si>
    <r>
      <rPr>
        <sz val="10"/>
        <color rgb="FF0000FF"/>
        <rFont val="Nimbus Sans"/>
        <family val="2"/>
      </rPr>
      <t xml:space="preserve">组质量状态</t>
    </r>
    <r>
      <rPr>
        <sz val="10"/>
        <color rgb="FF0000FF"/>
        <rFont val="Arial"/>
        <family val="2"/>
        <charset val="1"/>
      </rPr>
      <t xml:space="preserve">:</t>
    </r>
  </si>
  <si>
    <t xml:space="preserve">Status Berat Yg sudah ditentukan :</t>
  </si>
  <si>
    <t xml:space="preserve">SG Calculations - Cut Core or Broken Rock Pieces</t>
  </si>
  <si>
    <t xml:space="preserve">Cálculo de GE - Testigo Cortado y Partículas Fracturadas de Roca</t>
  </si>
  <si>
    <t xml:space="preserve">Расчет плотности - четвертинки керна или куски</t>
  </si>
  <si>
    <t xml:space="preserve">Cálculo de SSG - Testemunho Cortado ou Pedaço de Rocha </t>
  </si>
  <si>
    <r>
      <rPr>
        <sz val="10"/>
        <color rgb="FF0000FF"/>
        <rFont val="Nimbus Sans"/>
        <family val="2"/>
      </rPr>
      <t xml:space="preserve">密度计算</t>
    </r>
    <r>
      <rPr>
        <sz val="10"/>
        <color rgb="FF0000FF"/>
        <rFont val="Arial"/>
        <family val="2"/>
        <charset val="1"/>
      </rPr>
      <t xml:space="preserve">-</t>
    </r>
    <r>
      <rPr>
        <sz val="10"/>
        <color rgb="FF0000FF"/>
        <rFont val="Nimbus Sans"/>
        <family val="2"/>
      </rPr>
      <t xml:space="preserve">切割岩芯或破碎岩石块</t>
    </r>
  </si>
  <si>
    <t xml:space="preserve">Perhitungan SG - Core atau Batuan</t>
  </si>
  <si>
    <t xml:space="preserve">Medida de SG</t>
  </si>
  <si>
    <t xml:space="preserve">Определение плотности</t>
  </si>
  <si>
    <t xml:space="preserve">密度测试</t>
  </si>
  <si>
    <t xml:space="preserve">Sieve loss (%)</t>
  </si>
  <si>
    <t xml:space="preserve">Perdida de Peso (%)</t>
  </si>
  <si>
    <t xml:space="preserve">Потери при просеве (%)</t>
  </si>
  <si>
    <t xml:space="preserve">Perda no peneiramento (%)</t>
  </si>
  <si>
    <r>
      <rPr>
        <sz val="10"/>
        <color rgb="FF0000FF"/>
        <rFont val="Nimbus Sans"/>
        <family val="2"/>
      </rPr>
      <t xml:space="preserve">筛分损失（</t>
    </r>
    <r>
      <rPr>
        <sz val="10"/>
        <color rgb="FF0000FF"/>
        <rFont val="Arial"/>
        <family val="2"/>
        <charset val="1"/>
      </rPr>
      <t xml:space="preserve">%</t>
    </r>
    <r>
      <rPr>
        <sz val="10"/>
        <color rgb="FF0000FF"/>
        <rFont val="Nimbus Sans"/>
        <family val="2"/>
      </rPr>
      <t xml:space="preserve">）</t>
    </r>
  </si>
  <si>
    <t xml:space="preserve">Kehilangan akibat saringan (%)</t>
  </si>
  <si>
    <t xml:space="preserve">Sieve Size</t>
  </si>
  <si>
    <t xml:space="preserve">Tamaño del Tamiz</t>
  </si>
  <si>
    <t xml:space="preserve">Размер отверстия сита</t>
  </si>
  <si>
    <t xml:space="preserve">Tamanho da Peneira</t>
  </si>
  <si>
    <t xml:space="preserve">筛孔尺寸</t>
  </si>
  <si>
    <t xml:space="preserve">Ukuran saringan</t>
  </si>
  <si>
    <t xml:space="preserve">Sieve status</t>
  </si>
  <si>
    <t xml:space="preserve">Estado de Malla</t>
  </si>
  <si>
    <t xml:space="preserve">Статус просева</t>
  </si>
  <si>
    <t xml:space="preserve">Condição do Peneiramento</t>
  </si>
  <si>
    <t xml:space="preserve">筛分状态</t>
  </si>
  <si>
    <t xml:space="preserve">Status saringan</t>
  </si>
  <si>
    <t xml:space="preserve">Smaller Particle Sets Specification:</t>
  </si>
  <si>
    <t xml:space="preserve">Especificación  de sets de partículas pequeñas:</t>
  </si>
  <si>
    <t xml:space="preserve">Спецификация меньших наборов кусков:</t>
  </si>
  <si>
    <t xml:space="preserve">Especificação do conjunto de partículas pequenas:</t>
  </si>
  <si>
    <t xml:space="preserve">小矿粒组规格参数：</t>
  </si>
  <si>
    <t xml:space="preserve">Spesifikasi kumpulan partikel yang paling kecil ;</t>
  </si>
  <si>
    <t xml:space="preserve">SMC DATA FOR SAMPLE: </t>
  </si>
  <si>
    <t xml:space="preserve">SMC DATA PARA MUESTRA: </t>
  </si>
  <si>
    <t xml:space="preserve">ДАННЫЕ ТЕСТА CMS ДЛЯ ПРОБЫ:</t>
  </si>
  <si>
    <t xml:space="preserve">DADOS DO SMC PARA AMOSTRA:</t>
  </si>
  <si>
    <r>
      <rPr>
        <sz val="10"/>
        <color rgb="FF0000FF"/>
        <rFont val="Arial"/>
        <family val="2"/>
        <charset val="1"/>
      </rPr>
      <t xml:space="preserve">SMC</t>
    </r>
    <r>
      <rPr>
        <sz val="10"/>
        <color rgb="FF0000FF"/>
        <rFont val="Nimbus Sans"/>
        <family val="2"/>
      </rPr>
      <t xml:space="preserve">样品数据：</t>
    </r>
  </si>
  <si>
    <t xml:space="preserve">Data SMC untuk sampel</t>
  </si>
  <si>
    <t xml:space="preserve">SMC Test - Drop-Weight Testing</t>
  </si>
  <si>
    <t xml:space="preserve">SMC Test - Prueba del Drop-Weight</t>
  </si>
  <si>
    <t xml:space="preserve">Тест SMC - результаты тестирования</t>
  </si>
  <si>
    <t xml:space="preserve">Teste SMC - Drop-Weight Testing</t>
  </si>
  <si>
    <r>
      <rPr>
        <sz val="10"/>
        <color rgb="FF0000FF"/>
        <rFont val="Arial"/>
        <family val="2"/>
        <charset val="1"/>
      </rPr>
      <t xml:space="preserve">SMC-</t>
    </r>
    <r>
      <rPr>
        <sz val="10"/>
        <color rgb="FF0000FF"/>
        <rFont val="Nimbus Sans"/>
        <family val="2"/>
      </rPr>
      <t xml:space="preserve">落重试验</t>
    </r>
  </si>
  <si>
    <t xml:space="preserve">Pengujian SMC -Drop weight</t>
  </si>
  <si>
    <t xml:space="preserve">SMC Test - SG and Core Target Length Calculations</t>
  </si>
  <si>
    <t xml:space="preserve">SMC Test - Cálculo de Gravedad Especifica (GE) y Cálculos del Largo Objetivo del Testigo</t>
  </si>
  <si>
    <t xml:space="preserve">Тест SMC - определение плотности и целевой длины керна</t>
  </si>
  <si>
    <t xml:space="preserve">Teste SMC - Cálculos de SG e Comprimento de Testemunho</t>
  </si>
  <si>
    <r>
      <rPr>
        <sz val="10"/>
        <color rgb="FF0000FF"/>
        <rFont val="Arial"/>
        <family val="2"/>
        <charset val="1"/>
      </rPr>
      <t xml:space="preserve">SMC</t>
    </r>
    <r>
      <rPr>
        <sz val="10"/>
        <color rgb="FF0000FF"/>
        <rFont val="Nimbus Sans"/>
        <family val="2"/>
      </rPr>
      <t xml:space="preserve">试验</t>
    </r>
    <r>
      <rPr>
        <sz val="10"/>
        <color rgb="FF0000FF"/>
        <rFont val="Arial"/>
        <family val="2"/>
        <charset val="1"/>
      </rPr>
      <t xml:space="preserve">-</t>
    </r>
    <r>
      <rPr>
        <sz val="10"/>
        <color rgb="FF0000FF"/>
        <rFont val="Nimbus Sans"/>
        <family val="2"/>
      </rPr>
      <t xml:space="preserve">密度和岩芯长度计算</t>
    </r>
  </si>
  <si>
    <t xml:space="preserve">Perhitungan SMC test-SG dan panjang inti</t>
  </si>
  <si>
    <t xml:space="preserve">SMC Test - Test Definition Sheet</t>
  </si>
  <si>
    <t xml:space="preserve">Test SMC - Hoja de Definición del Test</t>
  </si>
  <si>
    <t xml:space="preserve">Тест SMC - Исходные данные</t>
  </si>
  <si>
    <t xml:space="preserve">Teste SMC - Planilha de Definição do Teste</t>
  </si>
  <si>
    <r>
      <rPr>
        <sz val="10"/>
        <color rgb="FF0000FF"/>
        <rFont val="Arial"/>
        <family val="2"/>
        <charset val="1"/>
      </rPr>
      <t xml:space="preserve">SMC</t>
    </r>
    <r>
      <rPr>
        <sz val="10"/>
        <color rgb="FF0000FF"/>
        <rFont val="Nimbus Sans"/>
        <family val="2"/>
      </rPr>
      <t xml:space="preserve">试验</t>
    </r>
    <r>
      <rPr>
        <sz val="10"/>
        <color rgb="FF0000FF"/>
        <rFont val="Arial"/>
        <family val="2"/>
        <charset val="1"/>
      </rPr>
      <t xml:space="preserve">-</t>
    </r>
    <r>
      <rPr>
        <sz val="10"/>
        <color rgb="FF0000FF"/>
        <rFont val="Nimbus Sans"/>
        <family val="2"/>
      </rPr>
      <t xml:space="preserve">测试定义表</t>
    </r>
  </si>
  <si>
    <t xml:space="preserve">SMC test-lembar penjelasan</t>
  </si>
  <si>
    <t xml:space="preserve">Starting Material is:</t>
  </si>
  <si>
    <t xml:space="preserve">Material Inicial es:</t>
  </si>
  <si>
    <t xml:space="preserve">Исходный материал:</t>
  </si>
  <si>
    <t xml:space="preserve">Material de Início:</t>
  </si>
  <si>
    <t xml:space="preserve">原料类型：</t>
  </si>
  <si>
    <t xml:space="preserve">Material Awal adalah :</t>
  </si>
  <si>
    <t xml:space="preserve">t10 v Eis Chart</t>
  </si>
  <si>
    <t xml:space="preserve">t10 v Eis Carta</t>
  </si>
  <si>
    <t xml:space="preserve">Зависимость t10 от Eis</t>
  </si>
  <si>
    <t xml:space="preserve">Gráfico: t10 v Eis</t>
  </si>
  <si>
    <r>
      <rPr>
        <sz val="10"/>
        <color rgb="FF0000FF"/>
        <rFont val="Arial"/>
        <family val="2"/>
        <charset val="1"/>
      </rPr>
      <t xml:space="preserve">t10&amp;Eis</t>
    </r>
    <r>
      <rPr>
        <sz val="10"/>
        <color rgb="FF0000FF"/>
        <rFont val="Nimbus Sans"/>
        <family val="2"/>
      </rPr>
      <t xml:space="preserve">图表</t>
    </r>
  </si>
  <si>
    <t xml:space="preserve">Bagan t10 v Eis </t>
  </si>
  <si>
    <t xml:space="preserve">Target</t>
  </si>
  <si>
    <t xml:space="preserve">Objetivo</t>
  </si>
  <si>
    <t xml:space="preserve">Цель</t>
  </si>
  <si>
    <t xml:space="preserve">Estipulado</t>
  </si>
  <si>
    <t xml:space="preserve">指标</t>
  </si>
  <si>
    <t xml:space="preserve">Target </t>
  </si>
  <si>
    <t xml:space="preserve">Target (g)</t>
  </si>
  <si>
    <t xml:space="preserve">Objetivo (g)</t>
  </si>
  <si>
    <t xml:space="preserve">Цель (г)</t>
  </si>
  <si>
    <t xml:space="preserve">Estipulado (g)</t>
  </si>
  <si>
    <r>
      <rPr>
        <sz val="10"/>
        <color rgb="FF0000FF"/>
        <rFont val="Nimbus Sans"/>
        <family val="2"/>
      </rPr>
      <t xml:space="preserve">要求质量（</t>
    </r>
    <r>
      <rPr>
        <sz val="10"/>
        <color rgb="FF0000FF"/>
        <rFont val="Arial"/>
        <family val="2"/>
        <charset val="1"/>
      </rPr>
      <t xml:space="preserve">g</t>
    </r>
    <r>
      <rPr>
        <sz val="10"/>
        <color rgb="FF0000FF"/>
        <rFont val="Nimbus Sans"/>
        <family val="2"/>
      </rPr>
      <t xml:space="preserve">）</t>
    </r>
  </si>
  <si>
    <t xml:space="preserve">Target Average Particle Mass (g):</t>
  </si>
  <si>
    <t xml:space="preserve">Masa Promedio Partícula Objetivo (g):</t>
  </si>
  <si>
    <t xml:space="preserve">Средняя целевая масса куска (г):</t>
  </si>
  <si>
    <t xml:space="preserve">Massa Média das Partículas Estipulada (g)</t>
  </si>
  <si>
    <r>
      <rPr>
        <sz val="10"/>
        <color rgb="FF0000FF"/>
        <rFont val="Nimbus Sans"/>
        <family val="2"/>
      </rPr>
      <t xml:space="preserve">要求平均矿粒质量（</t>
    </r>
    <r>
      <rPr>
        <sz val="10"/>
        <color rgb="FF0000FF"/>
        <rFont val="Arial"/>
        <family val="2"/>
        <charset val="1"/>
      </rPr>
      <t xml:space="preserve">g</t>
    </r>
    <r>
      <rPr>
        <sz val="10"/>
        <color rgb="FF0000FF"/>
        <rFont val="Nimbus Sans"/>
        <family val="2"/>
      </rPr>
      <t xml:space="preserve">）：</t>
    </r>
  </si>
  <si>
    <t xml:space="preserve">Target rata-rata massa partikel (g) :</t>
  </si>
  <si>
    <t xml:space="preserve">Target Diam. (mm)</t>
  </si>
  <si>
    <t xml:space="preserve">Diámetro Objetivo (mm)</t>
  </si>
  <si>
    <t xml:space="preserve">Целевой диаметр (мм)</t>
  </si>
  <si>
    <t xml:space="preserve">Diâmetro Estipulado (mm)</t>
  </si>
  <si>
    <r>
      <rPr>
        <sz val="10"/>
        <color rgb="FF0000FF"/>
        <rFont val="Nimbus Sans"/>
        <family val="2"/>
      </rPr>
      <t xml:space="preserve">要求直径（</t>
    </r>
    <r>
      <rPr>
        <sz val="10"/>
        <color rgb="FF0000FF"/>
        <rFont val="Arial"/>
        <family val="2"/>
        <charset val="1"/>
      </rPr>
      <t xml:space="preserve">mm</t>
    </r>
    <r>
      <rPr>
        <sz val="10"/>
        <color rgb="FF0000FF"/>
        <rFont val="Nimbus Sans"/>
        <family val="2"/>
      </rPr>
      <t xml:space="preserve">）</t>
    </r>
  </si>
  <si>
    <t xml:space="preserve">target diameter (mm)</t>
  </si>
  <si>
    <t xml:space="preserve">Target Eis (kWh/t)</t>
  </si>
  <si>
    <t xml:space="preserve">Eis Objetivo (kWh/t)</t>
  </si>
  <si>
    <t xml:space="preserve">Целевая Eis (кВт·ч/т)</t>
  </si>
  <si>
    <t xml:space="preserve">Eis Estipulada (KWh/t)</t>
  </si>
  <si>
    <r>
      <rPr>
        <sz val="10"/>
        <color rgb="FF0000FF"/>
        <rFont val="Nimbus Sans"/>
        <family val="2"/>
      </rPr>
      <t xml:space="preserve">要求</t>
    </r>
    <r>
      <rPr>
        <sz val="10"/>
        <color rgb="FF0000FF"/>
        <rFont val="Arial"/>
        <family val="2"/>
        <charset val="1"/>
      </rPr>
      <t xml:space="preserve">Eis</t>
    </r>
    <r>
      <rPr>
        <sz val="10"/>
        <color rgb="FF0000FF"/>
        <rFont val="Nimbus Sans"/>
        <family val="2"/>
      </rPr>
      <t xml:space="preserve">（</t>
    </r>
    <r>
      <rPr>
        <sz val="10"/>
        <color rgb="FF0000FF"/>
        <rFont val="Arial"/>
        <family val="2"/>
        <charset val="1"/>
      </rPr>
      <t xml:space="preserve">kwh/t</t>
    </r>
    <r>
      <rPr>
        <sz val="10"/>
        <color rgb="FF0000FF"/>
        <rFont val="Nimbus Sans"/>
        <family val="2"/>
      </rPr>
      <t xml:space="preserve">）</t>
    </r>
  </si>
  <si>
    <t xml:space="preserve">target Eis (kWh/t)</t>
  </si>
  <si>
    <t xml:space="preserve">Target Length (mm)</t>
  </si>
  <si>
    <t xml:space="preserve">Largo Objetivo (mm)</t>
  </si>
  <si>
    <t xml:space="preserve">Целевая длина (мм)</t>
  </si>
  <si>
    <t xml:space="preserve">Comprimento Estipulado (mm)</t>
  </si>
  <si>
    <r>
      <rPr>
        <sz val="10"/>
        <color rgb="FF0000FF"/>
        <rFont val="Nimbus Sans"/>
        <family val="2"/>
      </rPr>
      <t xml:space="preserve">计算长度（</t>
    </r>
    <r>
      <rPr>
        <sz val="10"/>
        <color rgb="FF0000FF"/>
        <rFont val="Arial"/>
        <family val="2"/>
        <charset val="1"/>
      </rPr>
      <t xml:space="preserve">mm</t>
    </r>
    <r>
      <rPr>
        <sz val="10"/>
        <color rgb="FF0000FF"/>
        <rFont val="Nimbus Sans"/>
        <family val="2"/>
      </rPr>
      <t xml:space="preserve">）</t>
    </r>
  </si>
  <si>
    <t xml:space="preserve">Target panjang (mm)</t>
  </si>
  <si>
    <t xml:space="preserve">Target Mass (g) =</t>
  </si>
  <si>
    <t xml:space="preserve">Peso Objetivo (g) =</t>
  </si>
  <si>
    <t xml:space="preserve">Целевая масса (г)=</t>
  </si>
  <si>
    <t xml:space="preserve">Massa Estipulada (g)=</t>
  </si>
  <si>
    <r>
      <rPr>
        <sz val="10"/>
        <color rgb="FF0000FF"/>
        <rFont val="Nimbus Sans"/>
        <family val="2"/>
      </rPr>
      <t xml:space="preserve">要求质量（</t>
    </r>
    <r>
      <rPr>
        <sz val="10"/>
        <color rgb="FF0000FF"/>
        <rFont val="Arial"/>
        <family val="2"/>
        <charset val="1"/>
      </rPr>
      <t xml:space="preserve">g</t>
    </r>
    <r>
      <rPr>
        <sz val="10"/>
        <color rgb="FF0000FF"/>
        <rFont val="Nimbus Sans"/>
        <family val="2"/>
      </rPr>
      <t xml:space="preserve">）</t>
    </r>
    <r>
      <rPr>
        <sz val="10"/>
        <color rgb="FF0000FF"/>
        <rFont val="Arial"/>
        <family val="2"/>
        <charset val="1"/>
      </rPr>
      <t xml:space="preserve">=</t>
    </r>
  </si>
  <si>
    <t xml:space="preserve">Target massa (g) =</t>
  </si>
  <si>
    <t xml:space="preserve">Target Mass for Each Set (g):</t>
  </si>
  <si>
    <t xml:space="preserve">Target masa para cada conjunto (g):</t>
  </si>
  <si>
    <t xml:space="preserve">Целевая массовой Для каждого набора (г):</t>
  </si>
  <si>
    <t xml:space="preserve">Missa alvo para cada conjunto (g):</t>
  </si>
  <si>
    <r>
      <rPr>
        <sz val="10"/>
        <color rgb="FF0000FF"/>
        <rFont val="Nimbus Sans"/>
        <family val="2"/>
      </rPr>
      <t xml:space="preserve">每个设定目标重量（</t>
    </r>
    <r>
      <rPr>
        <sz val="10"/>
        <color rgb="FF0000FF"/>
        <rFont val="Arial"/>
        <family val="2"/>
        <charset val="1"/>
      </rPr>
      <t xml:space="preserve">g</t>
    </r>
    <r>
      <rPr>
        <sz val="10"/>
        <color rgb="FF0000FF"/>
        <rFont val="Nimbus Sans"/>
        <family val="2"/>
      </rPr>
      <t xml:space="preserve">）：</t>
    </r>
  </si>
  <si>
    <t xml:space="preserve">Target Berat untuk masing-masing set (g) :</t>
  </si>
  <si>
    <t xml:space="preserve">Target Mass for Individual Particles:</t>
  </si>
  <si>
    <t xml:space="preserve">Partículas Individuales - Masa Objetivo:</t>
  </si>
  <si>
    <t xml:space="preserve">Целевая масса индивидуальных кусков:</t>
  </si>
  <si>
    <t xml:space="preserve">Massa Estipulada para cada Patícula:</t>
  </si>
  <si>
    <t xml:space="preserve">要求单块矿粒质量：</t>
  </si>
  <si>
    <t xml:space="preserve">Target Berat untuk partikel :</t>
  </si>
  <si>
    <t xml:space="preserve">Target Particle Sizes</t>
  </si>
  <si>
    <t xml:space="preserve">Tamaños de Partícula Objetivo</t>
  </si>
  <si>
    <t xml:space="preserve">Целевые размеры кусков</t>
  </si>
  <si>
    <t xml:space="preserve">Tamanho Estipulado das Partículas</t>
  </si>
  <si>
    <t xml:space="preserve">要求矿粒尺寸</t>
  </si>
  <si>
    <t xml:space="preserve">Target ukuran partikel</t>
  </si>
  <si>
    <t xml:space="preserve">Target Volume</t>
  </si>
  <si>
    <t xml:space="preserve">Volumen Objetivo</t>
  </si>
  <si>
    <t xml:space="preserve">Целевой объем</t>
  </si>
  <si>
    <t xml:space="preserve">Volume Estipulado</t>
  </si>
  <si>
    <t xml:space="preserve">要求体积</t>
  </si>
  <si>
    <t xml:space="preserve">Target volume</t>
  </si>
  <si>
    <t xml:space="preserve">Test Date:</t>
  </si>
  <si>
    <t xml:space="preserve">Fecha de Prueba:</t>
  </si>
  <si>
    <t xml:space="preserve">Дата теста:</t>
  </si>
  <si>
    <t xml:space="preserve">Data de Teste:</t>
  </si>
  <si>
    <t xml:space="preserve">试验日期 ：</t>
  </si>
  <si>
    <t xml:space="preserve">Tanggal percobaan :</t>
  </si>
  <si>
    <t xml:space="preserve">Pruebe La Definición</t>
  </si>
  <si>
    <t xml:space="preserve">Исходные данные</t>
  </si>
  <si>
    <t xml:space="preserve">Definição do Teste</t>
  </si>
  <si>
    <t xml:space="preserve">试验解释</t>
  </si>
  <si>
    <t xml:space="preserve">Definisi percobaan</t>
  </si>
  <si>
    <t xml:space="preserve">Test Height Calculations</t>
  </si>
  <si>
    <t xml:space="preserve">Cálculos de Altura del Test</t>
  </si>
  <si>
    <t xml:space="preserve">Расчеты высоты сбрасывания</t>
  </si>
  <si>
    <t xml:space="preserve">Cálculos das Alturas do Teste</t>
  </si>
  <si>
    <t xml:space="preserve">试验高度计算</t>
  </si>
  <si>
    <t xml:space="preserve">Perhitungan pengujian tinggi</t>
  </si>
  <si>
    <t xml:space="preserve">Test Laboratory:</t>
  </si>
  <si>
    <t xml:space="preserve">Laboratorio de Prueba:</t>
  </si>
  <si>
    <t xml:space="preserve">Испытательная лаборатория:</t>
  </si>
  <si>
    <t xml:space="preserve">Laboratório de Teste:</t>
  </si>
  <si>
    <t xml:space="preserve">测试实验室：</t>
  </si>
  <si>
    <t xml:space="preserve">Laboratorium pengujian :</t>
  </si>
  <si>
    <t xml:space="preserve">Tested By:</t>
  </si>
  <si>
    <t xml:space="preserve">Тест выполнил:</t>
  </si>
  <si>
    <t xml:space="preserve">Testado por:</t>
  </si>
  <si>
    <t xml:space="preserve">试验人员</t>
  </si>
  <si>
    <t xml:space="preserve">Diuji oleh :</t>
  </si>
  <si>
    <t xml:space="preserve">Testing on Particles in</t>
  </si>
  <si>
    <t xml:space="preserve">Prueba en Partículas en</t>
  </si>
  <si>
    <t xml:space="preserve">Испытание по частицы в</t>
  </si>
  <si>
    <t xml:space="preserve">Teste em partículas na</t>
  </si>
  <si>
    <t xml:space="preserve">测试在微粒</t>
  </si>
  <si>
    <t xml:space="preserve">Partikel di uji di dalam</t>
  </si>
  <si>
    <t xml:space="preserve">Tests to be carried out on:</t>
  </si>
  <si>
    <t xml:space="preserve">Tests serán realizados con:</t>
  </si>
  <si>
    <t xml:space="preserve">Тестируемый материал:</t>
  </si>
  <si>
    <t xml:space="preserve">Testes a serem realizados:</t>
  </si>
  <si>
    <r>
      <rPr>
        <sz val="10"/>
        <color rgb="FF0000FF"/>
        <rFont val="Nimbus Sans"/>
        <family val="2"/>
      </rPr>
      <t xml:space="preserve">试验物料类型</t>
    </r>
    <r>
      <rPr>
        <sz val="10"/>
        <color rgb="FF0000FF"/>
        <rFont val="Arial"/>
        <family val="2"/>
        <charset val="1"/>
      </rPr>
      <t xml:space="preserve">:</t>
    </r>
  </si>
  <si>
    <t xml:space="preserve">Jenis Uji yang dipilih</t>
  </si>
  <si>
    <t xml:space="preserve">The calculated SG is less than 2 - check that you have the correct heading for the 'weighing in water' data!</t>
  </si>
  <si>
    <t xml:space="preserve">El SG es menos de 2 - comprobar titulo para dato!</t>
  </si>
  <si>
    <t xml:space="preserve">Расчетная плотность менее 2 - проверьте правильность ввода данных</t>
  </si>
  <si>
    <t xml:space="preserve">A Densidade Relativa Calculada é menor que 2 - verifique se o valor dado está correto em "massa em água"!</t>
  </si>
  <si>
    <r>
      <rPr>
        <sz val="10"/>
        <color rgb="FF0000FF"/>
        <rFont val="Nimbus Sans"/>
        <family val="2"/>
      </rPr>
      <t xml:space="preserve">若计算比重小于</t>
    </r>
    <r>
      <rPr>
        <sz val="10"/>
        <color rgb="FF0000FF"/>
        <rFont val="Arial"/>
        <family val="2"/>
        <charset val="1"/>
      </rPr>
      <t xml:space="preserve">2 -</t>
    </r>
    <r>
      <rPr>
        <sz val="10"/>
        <color rgb="FF0000FF"/>
        <rFont val="Nimbus Sans"/>
        <family val="2"/>
      </rPr>
      <t xml:space="preserve">检查标题为“水中重量”的数据！</t>
    </r>
  </si>
  <si>
    <t xml:space="preserve">Jika SG kurang dari 2, periksa hasil penimbangan di air</t>
  </si>
  <si>
    <t xml:space="preserve">The test can proceed with fewer particles if necessary - select number from list.</t>
  </si>
  <si>
    <t xml:space="preserve">En caso de ser necesario la prueba puede proceder con un número menor de partículas - seleccione un número de la lista.</t>
  </si>
  <si>
    <t xml:space="preserve">Испытание можно продолжать с немногими частицами если необходимо - то выберите номер от списка.</t>
  </si>
  <si>
    <t xml:space="preserve">O teste pode proceder com um menor numero de particulas se necessário - Selecione o numero da lista</t>
  </si>
  <si>
    <r>
      <rPr>
        <sz val="10"/>
        <color rgb="FF0000FF"/>
        <rFont val="Nimbus Sans"/>
        <family val="2"/>
      </rPr>
      <t xml:space="preserve">如果需要</t>
    </r>
    <r>
      <rPr>
        <sz val="10"/>
        <color rgb="FF0000FF"/>
        <rFont val="Arial"/>
        <family val="2"/>
        <charset val="1"/>
      </rPr>
      <t xml:space="preserve">,</t>
    </r>
    <r>
      <rPr>
        <sz val="10"/>
        <color rgb="FF0000FF"/>
        <rFont val="Nimbus Sans"/>
        <family val="2"/>
      </rPr>
      <t xml:space="preserve">测试可以选择少些的颗粒数量 </t>
    </r>
    <r>
      <rPr>
        <sz val="10"/>
        <color rgb="FF0000FF"/>
        <rFont val="Arial"/>
        <family val="2"/>
        <charset val="1"/>
      </rPr>
      <t xml:space="preserve">- </t>
    </r>
    <r>
      <rPr>
        <sz val="10"/>
        <color rgb="FF0000FF"/>
        <rFont val="Nimbus Sans"/>
        <family val="2"/>
      </rPr>
      <t xml:space="preserve">从清单中选择相应的数字。</t>
    </r>
  </si>
  <si>
    <t xml:space="preserve">Pengujian dapat dilakukan dengan jumlah partikel yg lebih sedikit, liat daftar</t>
  </si>
  <si>
    <t xml:space="preserve">THIS SHEET NOT FOR DATA ENTRY - PRINT IT OUT FOR USE IN RECORDING DATA DURING LABORATORY TEST WORK.</t>
  </si>
  <si>
    <t xml:space="preserve">ESTA  HOJA NO ES PARA EL INGRESO DE DATOS - PARA SER USADA COMO ARCHIVO DE DATOS DURANTE EL TRABAJO  DE LABORATORIO, IMPRIMALA</t>
  </si>
  <si>
    <t xml:space="preserve">ДАННЫЙ ЛИСТ НЕ ПРЕДНАЗНАЧЕН ДЛЯ ВВОДА ДАННЫХ - РАСПЕЧАТАЙТЕ ЕГО ДЛЯ ЗАПИСИ ДАННЫХ В ХОДЕ ТЕСТИРОВАНИЯ</t>
  </si>
  <si>
    <t xml:space="preserve">ESTA PLANILHA NÃO É PARA A ENTRADA DE DADOS - IMPRIMA PARA UTILIZAR DURANTE OS TRABALHOS NO LABORATÓRIO.</t>
  </si>
  <si>
    <t xml:space="preserve">该表不是数据输入表，将其打印出来作为试验中的记录数据表。</t>
  </si>
  <si>
    <t xml:space="preserve">HALAMAN INI UNTUK DICETAK DAN DIGUNAKAN PADA SAAT PENGUJIAN, TIDAK UNTUK DIISI</t>
  </si>
  <si>
    <t xml:space="preserve">Tolerance</t>
  </si>
  <si>
    <t xml:space="preserve">Tolerancia</t>
  </si>
  <si>
    <t xml:space="preserve">Допуск</t>
  </si>
  <si>
    <t xml:space="preserve">Tolerância</t>
  </si>
  <si>
    <t xml:space="preserve">允许误差</t>
  </si>
  <si>
    <t xml:space="preserve">Toleransi</t>
  </si>
  <si>
    <t xml:space="preserve">Tolerance (mm)</t>
  </si>
  <si>
    <t xml:space="preserve">Tolerancia (mm)</t>
  </si>
  <si>
    <t xml:space="preserve">Допуск (мм)</t>
  </si>
  <si>
    <t xml:space="preserve">Tolerância (mm)</t>
  </si>
  <si>
    <r>
      <rPr>
        <sz val="10"/>
        <color rgb="FF0000FF"/>
        <rFont val="Nimbus Sans"/>
        <family val="2"/>
      </rPr>
      <t xml:space="preserve">允许误差（</t>
    </r>
    <r>
      <rPr>
        <sz val="10"/>
        <color rgb="FF0000FF"/>
        <rFont val="Arial"/>
        <family val="2"/>
        <charset val="1"/>
      </rPr>
      <t xml:space="preserve">mm</t>
    </r>
    <r>
      <rPr>
        <sz val="10"/>
        <color rgb="FF0000FF"/>
        <rFont val="Nimbus Sans"/>
        <family val="2"/>
      </rPr>
      <t xml:space="preserve">）</t>
    </r>
  </si>
  <si>
    <t xml:space="preserve">Toleransi (mm)</t>
  </si>
  <si>
    <t xml:space="preserve">Total Mass (g)</t>
  </si>
  <si>
    <t xml:space="preserve">Masa Total (g)</t>
  </si>
  <si>
    <t xml:space="preserve">Общая масса (г)</t>
  </si>
  <si>
    <t xml:space="preserve">Massa Total (g)</t>
  </si>
  <si>
    <r>
      <rPr>
        <sz val="10"/>
        <color rgb="FF0000FF"/>
        <rFont val="Nimbus Sans"/>
        <family val="2"/>
      </rPr>
      <t xml:space="preserve">总质量（</t>
    </r>
    <r>
      <rPr>
        <sz val="10"/>
        <color rgb="FF0000FF"/>
        <rFont val="Arial"/>
        <family val="2"/>
        <charset val="1"/>
      </rPr>
      <t xml:space="preserve">g</t>
    </r>
    <r>
      <rPr>
        <sz val="10"/>
        <color rgb="FF0000FF"/>
        <rFont val="Nimbus Sans"/>
        <family val="2"/>
      </rPr>
      <t xml:space="preserve">）</t>
    </r>
  </si>
  <si>
    <t xml:space="preserve">Berat total (g)</t>
  </si>
  <si>
    <t xml:space="preserve">Total Number of Particles Selected:</t>
  </si>
  <si>
    <t xml:space="preserve">Número total de las partículas seleccionadas:</t>
  </si>
  <si>
    <t xml:space="preserve">Общее кол-во отобранных кусков:</t>
  </si>
  <si>
    <t xml:space="preserve">Número Total de Partículas Selecionadas:</t>
  </si>
  <si>
    <t xml:space="preserve">选择矿粒的总个数：</t>
  </si>
  <si>
    <t xml:space="preserve">Total Jumlah partikel yang dipilih :</t>
  </si>
  <si>
    <t xml:space="preserve">Total Set Mass (g):</t>
  </si>
  <si>
    <t xml:space="preserve">Setear Masa Total (g):</t>
  </si>
  <si>
    <t xml:space="preserve">Общая масса набора (г)</t>
  </si>
  <si>
    <t xml:space="preserve">Massa Total do Conjunto (g):</t>
  </si>
  <si>
    <r>
      <rPr>
        <sz val="10"/>
        <color rgb="FF0000FF"/>
        <rFont val="Nimbus Sans"/>
        <family val="2"/>
      </rPr>
      <t xml:space="preserve">分组矿粒总质量（</t>
    </r>
    <r>
      <rPr>
        <sz val="10"/>
        <color rgb="FF0000FF"/>
        <rFont val="Arial"/>
        <family val="2"/>
        <charset val="1"/>
      </rPr>
      <t xml:space="preserve">g</t>
    </r>
    <r>
      <rPr>
        <sz val="10"/>
        <color rgb="FF0000FF"/>
        <rFont val="Nimbus Sans"/>
        <family val="2"/>
      </rPr>
      <t xml:space="preserve">）：</t>
    </r>
  </si>
  <si>
    <t xml:space="preserve">Berat Total Set (g)</t>
  </si>
  <si>
    <t xml:space="preserve">Total Weight</t>
  </si>
  <si>
    <t xml:space="preserve">Peso Total</t>
  </si>
  <si>
    <t xml:space="preserve">Общая масса</t>
  </si>
  <si>
    <t xml:space="preserve">Massa Total</t>
  </si>
  <si>
    <t xml:space="preserve">Berat Total</t>
  </si>
  <si>
    <t xml:space="preserve">Totals</t>
  </si>
  <si>
    <t xml:space="preserve">Totales</t>
  </si>
  <si>
    <t xml:space="preserve">Итого</t>
  </si>
  <si>
    <t xml:space="preserve">Totais</t>
  </si>
  <si>
    <t xml:space="preserve">共计</t>
  </si>
  <si>
    <t xml:space="preserve">Total</t>
  </si>
  <si>
    <t xml:space="preserve">Upper (g)</t>
  </si>
  <si>
    <t xml:space="preserve">Superior (g)</t>
  </si>
  <si>
    <t xml:space="preserve">Max (г)</t>
  </si>
  <si>
    <r>
      <rPr>
        <sz val="10"/>
        <color rgb="FF0000FF"/>
        <rFont val="Nimbus Sans"/>
        <family val="2"/>
      </rPr>
      <t xml:space="preserve">质量上限（</t>
    </r>
    <r>
      <rPr>
        <sz val="10"/>
        <color rgb="FF0000FF"/>
        <rFont val="Arial"/>
        <family val="2"/>
        <charset val="1"/>
      </rPr>
      <t xml:space="preserve">g</t>
    </r>
    <r>
      <rPr>
        <sz val="10"/>
        <color rgb="FF0000FF"/>
        <rFont val="Nimbus Sans"/>
        <family val="2"/>
      </rPr>
      <t xml:space="preserve">）</t>
    </r>
  </si>
  <si>
    <t xml:space="preserve">Atas (g)</t>
  </si>
  <si>
    <t xml:space="preserve">Upper Limit for Average Particle Mass (g):</t>
  </si>
  <si>
    <t xml:space="preserve">Límite Superior para la Masa Promedio de Partículas (g):</t>
  </si>
  <si>
    <t xml:space="preserve">Верхняя граница средней массы (г):</t>
  </si>
  <si>
    <t xml:space="preserve">Limite Superior da Massa Média das Partículas (g):</t>
  </si>
  <si>
    <r>
      <rPr>
        <sz val="10"/>
        <color rgb="FF0000FF"/>
        <rFont val="Nimbus Sans"/>
        <family val="2"/>
      </rPr>
      <t xml:space="preserve">平均矿粒质量上限（</t>
    </r>
    <r>
      <rPr>
        <sz val="10"/>
        <color rgb="FF0000FF"/>
        <rFont val="Arial"/>
        <family val="2"/>
        <charset val="1"/>
      </rPr>
      <t xml:space="preserve">g</t>
    </r>
    <r>
      <rPr>
        <sz val="10"/>
        <color rgb="FF0000FF"/>
        <rFont val="Nimbus Sans"/>
        <family val="2"/>
      </rPr>
      <t xml:space="preserve">）：</t>
    </r>
  </si>
  <si>
    <t xml:space="preserve">Batas atas untuk rata-rata berat partikel (g) :</t>
  </si>
  <si>
    <t xml:space="preserve">Upper Limit for Set Mass (g):</t>
  </si>
  <si>
    <t xml:space="preserve">Límite superior para la masa de este conjunto (g):</t>
  </si>
  <si>
    <t xml:space="preserve">Верхний предел для массы этой Set (г):</t>
  </si>
  <si>
    <t xml:space="preserve">Limite superior para a missa deste Set (g):</t>
  </si>
  <si>
    <r>
      <rPr>
        <sz val="10"/>
        <color rgb="FF0000FF"/>
        <rFont val="Nimbus Sans"/>
        <family val="2"/>
      </rPr>
      <t xml:space="preserve">上限为大众集（</t>
    </r>
    <r>
      <rPr>
        <sz val="10"/>
        <color rgb="FF0000FF"/>
        <rFont val="Arial"/>
        <family val="2"/>
        <charset val="1"/>
      </rPr>
      <t xml:space="preserve">G</t>
    </r>
    <r>
      <rPr>
        <sz val="10"/>
        <color rgb="FF0000FF"/>
        <rFont val="Nimbus Sans"/>
        <family val="2"/>
      </rPr>
      <t xml:space="preserve">）：</t>
    </r>
  </si>
  <si>
    <t xml:space="preserve">Batas atas untuk set (g) ;</t>
  </si>
  <si>
    <t xml:space="preserve">Volume</t>
  </si>
  <si>
    <t xml:space="preserve">Volumen</t>
  </si>
  <si>
    <t xml:space="preserve">Объем</t>
  </si>
  <si>
    <t xml:space="preserve">体积 </t>
  </si>
  <si>
    <t xml:space="preserve">Volume </t>
  </si>
  <si>
    <t xml:space="preserve">Volume cu. cm</t>
  </si>
  <si>
    <t xml:space="preserve">Volumen cu. cm</t>
  </si>
  <si>
    <t xml:space="preserve">Объем (см3)</t>
  </si>
  <si>
    <t xml:space="preserve">Volume (cu.cm)</t>
  </si>
  <si>
    <r>
      <rPr>
        <sz val="10"/>
        <color rgb="FF0000FF"/>
        <rFont val="Nimbus Sans"/>
        <family val="2"/>
      </rPr>
      <t xml:space="preserve">体积</t>
    </r>
    <r>
      <rPr>
        <sz val="10"/>
        <color rgb="FF0000FF"/>
        <rFont val="Arial"/>
        <family val="2"/>
        <charset val="1"/>
      </rPr>
      <t xml:space="preserve">cu.cm</t>
    </r>
  </si>
  <si>
    <t xml:space="preserve">Volume cm3</t>
  </si>
  <si>
    <t xml:space="preserve">Volume of pieces required (cm3):</t>
  </si>
  <si>
    <t xml:space="preserve">Volumen de partículas requeridos (cm3):</t>
  </si>
  <si>
    <t xml:space="preserve">Необходимый объем кусков (см3)</t>
  </si>
  <si>
    <t xml:space="preserve">Volume Estipulado de Peças (cm3):</t>
  </si>
  <si>
    <r>
      <rPr>
        <sz val="10"/>
        <color rgb="FF0000FF"/>
        <rFont val="Nimbus Sans"/>
        <family val="2"/>
      </rPr>
      <t xml:space="preserve">要求块体积（</t>
    </r>
    <r>
      <rPr>
        <sz val="10"/>
        <color rgb="FF0000FF"/>
        <rFont val="Arial"/>
        <family val="2"/>
        <charset val="1"/>
      </rPr>
      <t xml:space="preserve">cm3</t>
    </r>
    <r>
      <rPr>
        <sz val="10"/>
        <color rgb="FF0000FF"/>
        <rFont val="Nimbus Sans"/>
        <family val="2"/>
      </rPr>
      <t xml:space="preserve">）</t>
    </r>
    <r>
      <rPr>
        <sz val="10"/>
        <color rgb="FF0000FF"/>
        <rFont val="Arial"/>
        <family val="2"/>
        <charset val="1"/>
      </rPr>
      <t xml:space="preserve">:</t>
    </r>
  </si>
  <si>
    <t xml:space="preserve">Volume pecahan yang dibutuhkan (cm3) :</t>
  </si>
  <si>
    <t xml:space="preserve">Volume Status</t>
  </si>
  <si>
    <t xml:space="preserve">Estado del Volumen</t>
  </si>
  <si>
    <t xml:space="preserve">Статус объема</t>
  </si>
  <si>
    <t xml:space="preserve">Condição do Volume</t>
  </si>
  <si>
    <t xml:space="preserve">体积状态</t>
  </si>
  <si>
    <t xml:space="preserve">Status volume</t>
  </si>
  <si>
    <t xml:space="preserve">Weight of 20 Particles</t>
  </si>
  <si>
    <t xml:space="preserve">Peso de 20 Partículas</t>
  </si>
  <si>
    <t xml:space="preserve">Масса 20 кусков</t>
  </si>
  <si>
    <t xml:space="preserve">Massa de 20 Partículas</t>
  </si>
  <si>
    <r>
      <rPr>
        <sz val="10"/>
        <color rgb="FF0000FF"/>
        <rFont val="Arial"/>
        <family val="2"/>
        <charset val="1"/>
      </rPr>
      <t xml:space="preserve">20</t>
    </r>
    <r>
      <rPr>
        <sz val="10"/>
        <color rgb="FF0000FF"/>
        <rFont val="Nimbus Sans"/>
        <family val="2"/>
      </rPr>
      <t xml:space="preserve">块矿粒的质量</t>
    </r>
  </si>
  <si>
    <t xml:space="preserve">Bobot 20 partikel</t>
  </si>
  <si>
    <t xml:space="preserve">Weights of 20 Pieces for Quartered Core Cut Particle Sets - Cut Core Method</t>
  </si>
  <si>
    <t xml:space="preserve">Peso de Sets de 20 Particulas de Testigo Cuarteado - Método Corte La Base</t>
  </si>
  <si>
    <t xml:space="preserve">Массы 20 кусков при использовании метода резки керна</t>
  </si>
  <si>
    <t xml:space="preserve">Massa de 20 Partículas para conjunto de partículas de corpo de prova quarteado - Método "Cut Core"</t>
  </si>
  <si>
    <r>
      <rPr>
        <sz val="10"/>
        <color rgb="FF0000FF"/>
        <rFont val="Arial"/>
        <family val="2"/>
        <charset val="1"/>
      </rPr>
      <t xml:space="preserve">20</t>
    </r>
    <r>
      <rPr>
        <sz val="10"/>
        <color rgb="FF0000FF"/>
        <rFont val="Nimbus Sans"/>
        <family val="2"/>
      </rPr>
      <t xml:space="preserve">块</t>
    </r>
    <r>
      <rPr>
        <sz val="10"/>
        <color rgb="FF0000FF"/>
        <rFont val="Arial"/>
        <family val="2"/>
        <charset val="1"/>
      </rPr>
      <t xml:space="preserve">1/4</t>
    </r>
    <r>
      <rPr>
        <sz val="10"/>
        <color rgb="FF0000FF"/>
        <rFont val="Nimbus Sans"/>
        <family val="2"/>
      </rPr>
      <t xml:space="preserve">切割岩芯颗粒组的质量</t>
    </r>
    <r>
      <rPr>
        <sz val="10"/>
        <color rgb="FF0000FF"/>
        <rFont val="Arial"/>
        <family val="2"/>
        <charset val="1"/>
      </rPr>
      <t xml:space="preserve">-</t>
    </r>
    <r>
      <rPr>
        <sz val="10"/>
        <color rgb="FF0000FF"/>
        <rFont val="Nimbus Sans"/>
        <family val="2"/>
      </rPr>
      <t xml:space="preserve">切割岩芯法</t>
    </r>
  </si>
  <si>
    <t xml:space="preserve">Berat 20 potongan untuk metode pemotongan </t>
  </si>
  <si>
    <t xml:space="preserve">Whole Core</t>
  </si>
  <si>
    <t xml:space="preserve">Testigo Completo</t>
  </si>
  <si>
    <t xml:space="preserve">Целый керн</t>
  </si>
  <si>
    <t xml:space="preserve">Testemunho Inteiro</t>
  </si>
  <si>
    <t xml:space="preserve">完整岩芯</t>
  </si>
  <si>
    <t xml:space="preserve">Keseluruhan Core</t>
  </si>
  <si>
    <t xml:space="preserve">Hoja Del Trabajo</t>
  </si>
  <si>
    <t xml:space="preserve">Рабочий лист</t>
  </si>
  <si>
    <t xml:space="preserve">Wt in Air (g)</t>
  </si>
  <si>
    <t xml:space="preserve">Peso en Aire (g)</t>
  </si>
  <si>
    <t xml:space="preserve">Масса на воздухе (г)</t>
  </si>
  <si>
    <t xml:space="preserve">Peso em Ar (g)</t>
  </si>
  <si>
    <r>
      <rPr>
        <sz val="10"/>
        <color rgb="FF0000FF"/>
        <rFont val="Nimbus Sans"/>
        <family val="2"/>
      </rPr>
      <t xml:space="preserve">空气中质量</t>
    </r>
    <r>
      <rPr>
        <sz val="10"/>
        <color rgb="FF0000FF"/>
        <rFont val="Arial"/>
        <family val="2"/>
        <charset val="1"/>
      </rPr>
      <t xml:space="preserve">(g)</t>
    </r>
  </si>
  <si>
    <t xml:space="preserve">Bobot di udara (g)</t>
  </si>
  <si>
    <t xml:space="preserve">Wt in Water (g)</t>
  </si>
  <si>
    <t xml:space="preserve">Peso en Agua (g)</t>
  </si>
  <si>
    <t xml:space="preserve">Масса в воде (г)</t>
  </si>
  <si>
    <t xml:space="preserve">Peso em Água (g)</t>
  </si>
  <si>
    <r>
      <rPr>
        <sz val="10"/>
        <color rgb="FF0000FF"/>
        <rFont val="Nimbus Sans"/>
        <family val="2"/>
      </rPr>
      <t xml:space="preserve">水中质量（</t>
    </r>
    <r>
      <rPr>
        <sz val="10"/>
        <color rgb="FF0000FF"/>
        <rFont val="Arial"/>
        <family val="2"/>
        <charset val="1"/>
      </rPr>
      <t xml:space="preserve">g</t>
    </r>
    <r>
      <rPr>
        <sz val="10"/>
        <color rgb="FF0000FF"/>
        <rFont val="Nimbus Sans"/>
        <family val="2"/>
      </rPr>
      <t xml:space="preserve">）</t>
    </r>
  </si>
  <si>
    <t xml:space="preserve">Bobot di air (g)</t>
  </si>
  <si>
    <t xml:space="preserve">Wt Loss in Water (g)</t>
  </si>
  <si>
    <t xml:space="preserve">Pérdida del Peso en Agua (g)</t>
  </si>
  <si>
    <t xml:space="preserve">Потеря массы в воде (г)</t>
  </si>
  <si>
    <t xml:space="preserve">Peso perdido em Água (g)</t>
  </si>
  <si>
    <r>
      <rPr>
        <sz val="10"/>
        <color rgb="FF0000FF"/>
        <rFont val="Nimbus Sans"/>
        <family val="2"/>
      </rPr>
      <t xml:space="preserve">水中损失质量（</t>
    </r>
    <r>
      <rPr>
        <sz val="10"/>
        <color rgb="FF0000FF"/>
        <rFont val="Arial"/>
        <family val="2"/>
        <charset val="1"/>
      </rPr>
      <t xml:space="preserve">g</t>
    </r>
    <r>
      <rPr>
        <sz val="10"/>
        <color rgb="FF0000FF"/>
        <rFont val="Nimbus Sans"/>
        <family val="2"/>
      </rPr>
      <t xml:space="preserve">）</t>
    </r>
  </si>
  <si>
    <t xml:space="preserve">Bobot yang hilang di air (g)</t>
  </si>
  <si>
    <t xml:space="preserve">Wt oversize</t>
  </si>
  <si>
    <t xml:space="preserve">Peso sobretamaño</t>
  </si>
  <si>
    <t xml:space="preserve">Масса надрешетного (г)</t>
  </si>
  <si>
    <t xml:space="preserve">Peso oversize</t>
  </si>
  <si>
    <t xml:space="preserve">筛上质量</t>
  </si>
  <si>
    <t xml:space="preserve">Berat oversize</t>
  </si>
  <si>
    <t xml:space="preserve">Wt undersize</t>
  </si>
  <si>
    <t xml:space="preserve">Peso bajotamaño</t>
  </si>
  <si>
    <t xml:space="preserve">Масса подрешетного (г)</t>
  </si>
  <si>
    <t xml:space="preserve">Peso undersize</t>
  </si>
  <si>
    <t xml:space="preserve">筛下质量</t>
  </si>
  <si>
    <t xml:space="preserve">Berat undersize</t>
  </si>
  <si>
    <t xml:space="preserve">Added 28/10/14</t>
  </si>
  <si>
    <t xml:space="preserve">Added 11/7/14</t>
  </si>
  <si>
    <t xml:space="preserve">Added 6/6/14</t>
  </si>
  <si>
    <t xml:space="preserve">Added 24/3/2014</t>
  </si>
  <si>
    <t xml:space="preserve">Added 18/3/2014</t>
  </si>
  <si>
    <t xml:space="preserve">Added 25/2/2013</t>
  </si>
  <si>
    <t xml:space="preserve">Added 14/6/2011</t>
  </si>
  <si>
    <t xml:space="preserve">Test Laboratories</t>
  </si>
  <si>
    <t xml:space="preserve">Abbreviations</t>
  </si>
  <si>
    <t xml:space="preserve">Added 21/6/2012</t>
  </si>
  <si>
    <t xml:space="preserve">ALS Metallurgy S.A.</t>
  </si>
  <si>
    <t xml:space="preserve">ALS</t>
  </si>
  <si>
    <t xml:space="preserve">ALS Metallurgy W.A.</t>
  </si>
  <si>
    <t xml:space="preserve">ALS Metallurgy Kamloops</t>
  </si>
  <si>
    <t xml:space="preserve">ALS Kamloops</t>
  </si>
  <si>
    <t xml:space="preserve">Aminpro Chile</t>
  </si>
  <si>
    <t xml:space="preserve">Aminpro</t>
  </si>
  <si>
    <t xml:space="preserve">ASMIN Industrial Ltd</t>
  </si>
  <si>
    <t xml:space="preserve">ASMIN</t>
  </si>
  <si>
    <t xml:space="preserve">Base Metallurgical Laboratory</t>
  </si>
  <si>
    <t xml:space="preserve">Base Met Labs</t>
  </si>
  <si>
    <t xml:space="preserve">Beijing General Research Inst. of Mining &amp; Met.</t>
  </si>
  <si>
    <t xml:space="preserve">BGRIMM</t>
  </si>
  <si>
    <t xml:space="preserve">Blue Coast Research</t>
  </si>
  <si>
    <t xml:space="preserve">Blue Coast</t>
  </si>
  <si>
    <t xml:space="preserve">Bureau Veritas Minerals Pty Ltd Chile</t>
  </si>
  <si>
    <t xml:space="preserve">BV</t>
  </si>
  <si>
    <t xml:space="preserve">Bureau Veritas Minerals Pty Ltd S.A.</t>
  </si>
  <si>
    <t xml:space="preserve">Bureau Veritas Minerals Pty Ltd W.A.</t>
  </si>
  <si>
    <t xml:space="preserve">C.H. Plenge &amp; Cia S.A.</t>
  </si>
  <si>
    <t xml:space="preserve">Plenge</t>
  </si>
  <si>
    <t xml:space="preserve">CITIC HIC China</t>
  </si>
  <si>
    <t xml:space="preserve">CITIC</t>
  </si>
  <si>
    <t xml:space="preserve">COREM</t>
  </si>
  <si>
    <t xml:space="preserve">Erdenet Mining Corp</t>
  </si>
  <si>
    <t xml:space="preserve">Erdenet</t>
  </si>
  <si>
    <t xml:space="preserve">FLSmidth</t>
  </si>
  <si>
    <t xml:space="preserve">Freeport McMaRon</t>
  </si>
  <si>
    <t xml:space="preserve">Geolabs Global</t>
  </si>
  <si>
    <t xml:space="preserve">Geolabs</t>
  </si>
  <si>
    <t xml:space="preserve">Hazen Research Inc.</t>
  </si>
  <si>
    <t xml:space="preserve">Hazen</t>
  </si>
  <si>
    <t xml:space="preserve">Irgiredmet</t>
  </si>
  <si>
    <t xml:space="preserve">Jet-Rom Solutions</t>
  </si>
  <si>
    <t xml:space="preserve">Jet-Rom</t>
  </si>
  <si>
    <t xml:space="preserve">JKTech Pty Ltd</t>
  </si>
  <si>
    <t xml:space="preserve">JKTech</t>
  </si>
  <si>
    <t xml:space="preserve">JSC Polymetal Engineering</t>
  </si>
  <si>
    <t xml:space="preserve">Polymetal</t>
  </si>
  <si>
    <t xml:space="preserve">JSC Uralmekhanobr</t>
  </si>
  <si>
    <t xml:space="preserve">Metallurgy Welshpool</t>
  </si>
  <si>
    <t xml:space="preserve">Metallurgy</t>
  </si>
  <si>
    <t xml:space="preserve">Metso Outotec Brazil</t>
  </si>
  <si>
    <t xml:space="preserve">Metso Outotec Peru</t>
  </si>
  <si>
    <t xml:space="preserve">Mintek Inc.</t>
  </si>
  <si>
    <t xml:space="preserve">Mintek</t>
  </si>
  <si>
    <t xml:space="preserve">Newmont Met Services</t>
  </si>
  <si>
    <t xml:space="preserve">Newmont</t>
  </si>
  <si>
    <t xml:space="preserve">Newmont USA Ltd</t>
  </si>
  <si>
    <t xml:space="preserve">NHI Equipment Corporation</t>
  </si>
  <si>
    <t xml:space="preserve">NHI</t>
  </si>
  <si>
    <t xml:space="preserve">Northern Engineering Technology Company of MCC</t>
  </si>
  <si>
    <t xml:space="preserve">NETC</t>
  </si>
  <si>
    <t xml:space="preserve">Polyus</t>
  </si>
  <si>
    <t xml:space="preserve">PT Geoservices</t>
  </si>
  <si>
    <t xml:space="preserve">PT Newmont Nusa Tenggara</t>
  </si>
  <si>
    <t xml:space="preserve">RIVS Comminution Lab</t>
  </si>
  <si>
    <t xml:space="preserve">RIVS CL</t>
  </si>
  <si>
    <t xml:space="preserve">Saint-Petersburg Mining University</t>
  </si>
  <si>
    <t xml:space="preserve">SPMU</t>
  </si>
  <si>
    <t xml:space="preserve">SGS Chile Limitada</t>
  </si>
  <si>
    <t xml:space="preserve">SGS</t>
  </si>
  <si>
    <t xml:space="preserve">SGS Lakefield</t>
  </si>
  <si>
    <t xml:space="preserve">SGS Tucson</t>
  </si>
  <si>
    <t xml:space="preserve">SGS Perú S.A.C</t>
  </si>
  <si>
    <t xml:space="preserve">SGS South Africa (Pty) Ltd</t>
  </si>
  <si>
    <t xml:space="preserve">SGS Vancouver</t>
  </si>
  <si>
    <t xml:space="preserve">SGS Vostok Limited</t>
  </si>
  <si>
    <t xml:space="preserve">Teck Cominco</t>
  </si>
  <si>
    <t xml:space="preserve">TOMS</t>
  </si>
  <si>
    <t xml:space="preserve">University of Mine and Technology</t>
  </si>
  <si>
    <t xml:space="preserve">UMaT</t>
  </si>
  <si>
    <t xml:space="preserve">Wardell Armstrong International Ltd</t>
  </si>
  <si>
    <t xml:space="preserve">Wardell Armstrong</t>
  </si>
  <si>
    <t xml:space="preserve">Zijin Mining Group Co., Ltd.</t>
  </si>
  <si>
    <t xml:space="preserve">Zijin Mining</t>
  </si>
  <si>
    <t xml:space="preserve">mm/g</t>
  </si>
  <si>
    <t xml:space="preserve">Particle Set Numbers Table</t>
  </si>
  <si>
    <t xml:space="preserve">Total Particle Count</t>
  </si>
  <si>
    <t xml:space="preserve">Individual Set Numbers</t>
  </si>
  <si>
    <t xml:space="preserve">Set #1</t>
  </si>
  <si>
    <t xml:space="preserve">Set #2</t>
  </si>
  <si>
    <t xml:space="preserve">Set #3</t>
  </si>
  <si>
    <t xml:space="preserve">Set #4</t>
  </si>
  <si>
    <t xml:space="preserve">Set #5</t>
  </si>
  <si>
    <t xml:space="preserve">Total  </t>
  </si>
  <si>
    <t xml:space="preserve">Kg</t>
  </si>
  <si>
    <t xml:space="preserve">LB</t>
  </si>
  <si>
    <t xml:space="preserve">LB+1</t>
  </si>
  <si>
    <t xml:space="preserve">LB+1+2</t>
  </si>
  <si>
    <t xml:space="preserve">HB</t>
  </si>
  <si>
    <t xml:space="preserve">HB+1</t>
  </si>
  <si>
    <t xml:space="preserve">HB+1+2</t>
  </si>
  <si>
    <t xml:space="preserve">(mm)</t>
  </si>
  <si>
    <t xml:space="preserve">HB+1+2+3</t>
  </si>
  <si>
    <t xml:space="preserve">HB+1+2+3+4</t>
  </si>
  <si>
    <t xml:space="preserve">HB+1+2+3+4+5</t>
  </si>
  <si>
    <t xml:space="preserve">Eis kWh/t</t>
  </si>
</sst>
</file>

<file path=xl/styles.xml><?xml version="1.0" encoding="utf-8"?>
<styleSheet xmlns="http://schemas.openxmlformats.org/spreadsheetml/2006/main">
  <numFmts count="17">
    <numFmt numFmtId="164" formatCode="General"/>
    <numFmt numFmtId="165" formatCode="[$-C09]d\ mmmm\ yyyy;@"/>
    <numFmt numFmtId="166" formatCode="0.0"/>
    <numFmt numFmtId="167" formatCode="General"/>
    <numFmt numFmtId="168" formatCode="0%"/>
    <numFmt numFmtId="169" formatCode="0.00"/>
    <numFmt numFmtId="170" formatCode="0.000"/>
    <numFmt numFmtId="171" formatCode="0.0&quot; mm&quot;"/>
    <numFmt numFmtId="172" formatCode="_-* #,##0.00_-;\-* #,##0.00_-;_-* \-??_-;_-@_-"/>
    <numFmt numFmtId="173" formatCode="0.00&quot; m&quot;"/>
    <numFmt numFmtId="174" formatCode="0.0&quot; kg&quot;"/>
    <numFmt numFmtId="175" formatCode="0%&quot; Default&quot;"/>
    <numFmt numFmtId="176" formatCode="0%&quot; If Short of Particles Only&quot;"/>
    <numFmt numFmtId="177" formatCode="0.0%"/>
    <numFmt numFmtId="178" formatCode="0"/>
    <numFmt numFmtId="179" formatCode="[$-C09]dd\-mmm\-yy;@"/>
    <numFmt numFmtId="180" formatCode="0.0#&quot; mm&quot;"/>
  </numFmts>
  <fonts count="65">
    <font>
      <sz val="10"/>
      <name val="Arial"/>
      <family val="0"/>
      <charset val="1"/>
    </font>
    <font>
      <sz val="10"/>
      <name val="Arial"/>
      <family val="0"/>
    </font>
    <font>
      <sz val="10"/>
      <name val="Arial"/>
      <family val="0"/>
    </font>
    <font>
      <sz val="10"/>
      <name val="Arial"/>
      <family val="0"/>
    </font>
    <font>
      <b val="true"/>
      <sz val="11"/>
      <color rgb="FF0000FF"/>
      <name val="Arial"/>
      <family val="2"/>
      <charset val="1"/>
    </font>
    <font>
      <b val="true"/>
      <sz val="12"/>
      <color rgb="FF0000FF"/>
      <name val="Arial"/>
      <family val="2"/>
      <charset val="1"/>
    </font>
    <font>
      <b val="true"/>
      <sz val="10"/>
      <color rgb="FF0000FF"/>
      <name val="Arial"/>
      <family val="2"/>
      <charset val="1"/>
    </font>
    <font>
      <b val="true"/>
      <sz val="18"/>
      <name val="Arial"/>
      <family val="2"/>
      <charset val="1"/>
    </font>
    <font>
      <b val="true"/>
      <sz val="12"/>
      <name val="Arial"/>
      <family val="2"/>
      <charset val="1"/>
    </font>
    <font>
      <b val="true"/>
      <sz val="10"/>
      <name val="Arial"/>
      <family val="2"/>
      <charset val="1"/>
    </font>
    <font>
      <sz val="10"/>
      <name val="Arial"/>
      <family val="2"/>
      <charset val="1"/>
    </font>
    <font>
      <sz val="10"/>
      <color rgb="FFFFFFFF"/>
      <name val="Arial"/>
      <family val="2"/>
      <charset val="1"/>
    </font>
    <font>
      <sz val="12"/>
      <name val="Arial"/>
      <family val="2"/>
      <charset val="1"/>
    </font>
    <font>
      <sz val="10"/>
      <color rgb="FFFF0000"/>
      <name val="Arial"/>
      <family val="2"/>
      <charset val="1"/>
    </font>
    <font>
      <b val="true"/>
      <sz val="9"/>
      <color rgb="FFFF0000"/>
      <name val="Arial"/>
      <family val="2"/>
      <charset val="1"/>
    </font>
    <font>
      <sz val="10"/>
      <color rgb="FFFF6600"/>
      <name val="Arial"/>
      <family val="2"/>
      <charset val="1"/>
    </font>
    <font>
      <b val="true"/>
      <sz val="11"/>
      <name val="Arial"/>
      <family val="2"/>
      <charset val="1"/>
    </font>
    <font>
      <b val="true"/>
      <sz val="10"/>
      <color rgb="FFFF0000"/>
      <name val="Arial"/>
      <family val="2"/>
      <charset val="1"/>
    </font>
    <font>
      <sz val="11"/>
      <name val="Arial"/>
      <family val="2"/>
      <charset val="1"/>
    </font>
    <font>
      <b val="true"/>
      <u val="single"/>
      <sz val="10"/>
      <name val="Arial"/>
      <family val="2"/>
      <charset val="1"/>
    </font>
    <font>
      <sz val="10"/>
      <color rgb="FF003366"/>
      <name val="Arial"/>
      <family val="2"/>
      <charset val="1"/>
    </font>
    <font>
      <sz val="10"/>
      <name val="Nimbus Sans"/>
      <family val="2"/>
    </font>
    <font>
      <sz val="10"/>
      <color rgb="FF0000FF"/>
      <name val="Arial"/>
      <family val="2"/>
      <charset val="1"/>
    </font>
    <font>
      <sz val="10"/>
      <color rgb="FF0000FF"/>
      <name val="Nimbus Sans"/>
      <family val="2"/>
    </font>
    <font>
      <vertAlign val="superscript"/>
      <sz val="10"/>
      <name val="Arial"/>
      <family val="2"/>
      <charset val="1"/>
    </font>
    <font>
      <vertAlign val="superscript"/>
      <sz val="10"/>
      <color rgb="FF0000FF"/>
      <name val="Arial"/>
      <family val="2"/>
      <charset val="1"/>
    </font>
    <font>
      <sz val="9"/>
      <color rgb="FF000000"/>
      <name val="Tahoma"/>
      <family val="2"/>
      <charset val="1"/>
    </font>
    <font>
      <sz val="10"/>
      <color rgb="FF000000"/>
      <name val="Arial"/>
      <family val="0"/>
    </font>
    <font>
      <sz val="10"/>
      <color rgb="FFFF00FF"/>
      <name val="Cantarell"/>
      <family val="2"/>
    </font>
    <font>
      <sz val="10"/>
      <color rgb="FFFF00FF"/>
      <name val="Arial"/>
      <family val="0"/>
    </font>
    <font>
      <sz val="11"/>
      <color rgb="FF000000"/>
      <name val="Calibri"/>
      <family val="0"/>
    </font>
    <font>
      <i val="true"/>
      <sz val="10"/>
      <color rgb="FFFF00FF"/>
      <name val="Arial"/>
      <family val="0"/>
    </font>
    <font>
      <sz val="10"/>
      <color rgb="FF000000"/>
      <name val="Cantarell"/>
      <family val="2"/>
    </font>
    <font>
      <sz val="11"/>
      <color theme="1"/>
      <name val="Cantarell"/>
      <family val="2"/>
    </font>
    <font>
      <sz val="11"/>
      <color theme="1"/>
      <name val="Calibri"/>
      <family val="0"/>
    </font>
    <font>
      <sz val="10"/>
      <color rgb="FFFF0000"/>
      <name val="Cantarell"/>
      <family val="2"/>
    </font>
    <font>
      <b val="true"/>
      <sz val="10"/>
      <color rgb="FF0000FF"/>
      <name val="Cantarell"/>
      <family val="2"/>
    </font>
    <font>
      <b val="true"/>
      <sz val="10"/>
      <color rgb="FF0000FF"/>
      <name val="Arial"/>
      <family val="0"/>
    </font>
    <font>
      <b val="true"/>
      <sz val="10"/>
      <color rgb="FF000000"/>
      <name val="Arial"/>
      <family val="0"/>
    </font>
    <font>
      <i val="true"/>
      <sz val="10"/>
      <color rgb="FF000000"/>
      <name val="Arial"/>
      <family val="0"/>
    </font>
    <font>
      <sz val="10"/>
      <name val="Calibri"/>
      <family val="0"/>
    </font>
    <font>
      <sz val="10"/>
      <color rgb="FFFF0000"/>
      <name val="Arial"/>
      <family val="0"/>
    </font>
    <font>
      <sz val="10"/>
      <color rgb="FF0000FF"/>
      <name val="Arial"/>
      <family val="0"/>
    </font>
    <font>
      <b val="true"/>
      <sz val="10"/>
      <name val="Nimbus Roman"/>
      <family val="1"/>
    </font>
    <font>
      <sz val="10"/>
      <name val="Nimbus Roman"/>
      <family val="1"/>
    </font>
    <font>
      <b val="true"/>
      <sz val="14"/>
      <name val="Arial"/>
      <family val="2"/>
      <charset val="1"/>
    </font>
    <font>
      <b val="true"/>
      <sz val="9"/>
      <name val="Arial"/>
      <family val="2"/>
      <charset val="1"/>
    </font>
    <font>
      <sz val="10"/>
      <color theme="0"/>
      <name val="Arial"/>
      <family val="2"/>
      <charset val="1"/>
    </font>
    <font>
      <b val="true"/>
      <sz val="10"/>
      <color rgb="FF000000"/>
      <name val="Cantarell"/>
      <family val="2"/>
    </font>
    <font>
      <b val="true"/>
      <sz val="8"/>
      <name val="Arial"/>
      <family val="2"/>
      <charset val="1"/>
    </font>
    <font>
      <sz val="10"/>
      <color rgb="FF808080"/>
      <name val="Arial"/>
      <family val="2"/>
      <charset val="1"/>
    </font>
    <font>
      <b val="true"/>
      <sz val="10"/>
      <color rgb="FF808080"/>
      <name val="Arial"/>
      <family val="2"/>
      <charset val="1"/>
    </font>
    <font>
      <u val="single"/>
      <sz val="10"/>
      <color rgb="FF000000"/>
      <name val="Arial"/>
      <family val="0"/>
    </font>
    <font>
      <sz val="12"/>
      <color rgb="FFFF0000"/>
      <name val="Arial"/>
      <family val="2"/>
      <charset val="1"/>
    </font>
    <font>
      <b val="true"/>
      <sz val="12"/>
      <color rgb="FFFF0000"/>
      <name val="Arial"/>
      <family val="2"/>
      <charset val="1"/>
    </font>
    <font>
      <b val="true"/>
      <i val="true"/>
      <sz val="12"/>
      <name val="Arial"/>
      <family val="2"/>
      <charset val="1"/>
    </font>
    <font>
      <sz val="12"/>
      <color rgb="FFFFFFFF"/>
      <name val="Arial"/>
      <family val="2"/>
      <charset val="1"/>
    </font>
    <font>
      <sz val="8"/>
      <color rgb="FF000000"/>
      <name val="Tahoma"/>
      <family val="2"/>
      <charset val="1"/>
    </font>
    <font>
      <sz val="12"/>
      <color rgb="FFFF0000"/>
      <name val="Cantarell"/>
      <family val="2"/>
    </font>
    <font>
      <sz val="12"/>
      <color rgb="FFFF0000"/>
      <name val="Calibri"/>
      <family val="0"/>
    </font>
    <font>
      <b val="true"/>
      <sz val="11"/>
      <color rgb="FFFF0000"/>
      <name val="Calibri"/>
      <family val="0"/>
    </font>
    <font>
      <sz val="11"/>
      <color rgb="FFFF0000"/>
      <name val="Calibri"/>
      <family val="0"/>
    </font>
    <font>
      <i val="true"/>
      <sz val="11"/>
      <color rgb="FFFF0000"/>
      <name val="Calibri"/>
      <family val="0"/>
    </font>
    <font>
      <b val="true"/>
      <sz val="14"/>
      <color rgb="FF000000"/>
      <name val="Arial"/>
      <family val="2"/>
    </font>
    <font>
      <sz val="10"/>
      <color rgb="FF000000"/>
      <name val="Arial"/>
      <family val="2"/>
    </font>
  </fonts>
  <fills count="20">
    <fill>
      <patternFill patternType="none"/>
    </fill>
    <fill>
      <patternFill patternType="gray125"/>
    </fill>
    <fill>
      <patternFill patternType="solid">
        <fgColor rgb="FFCCFFFF"/>
        <bgColor rgb="FFCDFFCD"/>
      </patternFill>
    </fill>
    <fill>
      <patternFill patternType="solid">
        <fgColor rgb="FFCDFFCD"/>
        <bgColor rgb="FFCCFFCC"/>
      </patternFill>
    </fill>
    <fill>
      <patternFill patternType="solid">
        <fgColor rgb="FFCCFFCC"/>
        <bgColor rgb="FFCDFFCD"/>
      </patternFill>
    </fill>
    <fill>
      <patternFill patternType="solid">
        <fgColor rgb="FFFFFF99"/>
        <bgColor rgb="FFFFFFCC"/>
      </patternFill>
    </fill>
    <fill>
      <patternFill patternType="solid">
        <fgColor rgb="FFC0C0C0"/>
        <bgColor rgb="FF93CDDD"/>
      </patternFill>
    </fill>
    <fill>
      <patternFill patternType="solid">
        <fgColor rgb="FF00B050"/>
        <bgColor rgb="FF008080"/>
      </patternFill>
    </fill>
    <fill>
      <patternFill patternType="solid">
        <fgColor theme="8"/>
        <bgColor rgb="FF969696"/>
      </patternFill>
    </fill>
    <fill>
      <patternFill patternType="solid">
        <fgColor theme="8" tint="0.3999"/>
        <bgColor rgb="FFC0C0C0"/>
      </patternFill>
    </fill>
    <fill>
      <patternFill patternType="solid">
        <fgColor theme="5" tint="0.3999"/>
        <bgColor rgb="FFCC99FF"/>
      </patternFill>
    </fill>
    <fill>
      <patternFill patternType="solid">
        <fgColor theme="6" tint="0.5999"/>
        <bgColor rgb="FFCDFFCD"/>
      </patternFill>
    </fill>
    <fill>
      <patternFill patternType="solid">
        <fgColor rgb="FF92D050"/>
        <bgColor rgb="FFC0C0C0"/>
      </patternFill>
    </fill>
    <fill>
      <patternFill patternType="solid">
        <fgColor rgb="FFFFFF00"/>
        <bgColor rgb="FFFFFF00"/>
      </patternFill>
    </fill>
    <fill>
      <patternFill patternType="solid">
        <fgColor theme="9" tint="0.3999"/>
        <bgColor rgb="FFFFCC99"/>
      </patternFill>
    </fill>
    <fill>
      <patternFill patternType="solid">
        <fgColor rgb="FFFFFFCC"/>
        <bgColor rgb="FFFFFFFF"/>
      </patternFill>
    </fill>
    <fill>
      <patternFill patternType="solid">
        <fgColor rgb="FFFFFFFF"/>
        <bgColor rgb="FFFFFFCC"/>
      </patternFill>
    </fill>
    <fill>
      <patternFill patternType="solid">
        <fgColor rgb="FF969696"/>
        <bgColor rgb="FF808080"/>
      </patternFill>
    </fill>
    <fill>
      <patternFill patternType="solid">
        <fgColor rgb="FFFFCC00"/>
        <bgColor rgb="FFFFFF00"/>
      </patternFill>
    </fill>
    <fill>
      <patternFill patternType="solid">
        <fgColor rgb="FFFFCC99"/>
        <bgColor rgb="FFFAC090"/>
      </patternFill>
    </fill>
  </fills>
  <borders count="47">
    <border diagonalUp="false" diagonalDown="false">
      <left/>
      <right/>
      <top/>
      <bottom/>
      <diagonal/>
    </border>
    <border diagonalUp="false" diagonalDown="false">
      <left style="thin"/>
      <right style="thin"/>
      <top style="thin"/>
      <bottom style="thin"/>
      <diagonal/>
    </border>
    <border diagonalUp="false" diagonalDown="false">
      <left style="thin">
        <color rgb="FFC0C0C0"/>
      </left>
      <right style="thin">
        <color rgb="FFC0C0C0"/>
      </right>
      <top style="thin">
        <color rgb="FFC0C0C0"/>
      </top>
      <bottom style="thin">
        <color rgb="FFC0C0C0"/>
      </bottom>
      <diagonal/>
    </border>
    <border diagonalUp="false" diagonalDown="false">
      <left style="thin"/>
      <right style="thin"/>
      <top/>
      <bottom/>
      <diagonal/>
    </border>
    <border diagonalUp="false" diagonalDown="false">
      <left style="thin"/>
      <right style="thin"/>
      <top style="thin"/>
      <bottom/>
      <diagonal/>
    </border>
    <border diagonalUp="false" diagonalDown="false">
      <left style="thin"/>
      <right style="thin"/>
      <top/>
      <bottom style="thin"/>
      <diagonal/>
    </border>
    <border diagonalUp="false" diagonalDown="false">
      <left style="medium"/>
      <right style="medium"/>
      <top style="medium"/>
      <bottom style="mediu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color rgb="FFC0C0C0"/>
      </left>
      <right/>
      <top style="thin">
        <color rgb="FFC0C0C0"/>
      </top>
      <bottom style="thin">
        <color rgb="FFC0C0C0"/>
      </bottom>
      <diagonal/>
    </border>
    <border diagonalUp="false" diagonalDown="false">
      <left style="thin"/>
      <right style="thin">
        <color rgb="FFC0C0C0"/>
      </right>
      <top style="thin"/>
      <bottom style="thin">
        <color rgb="FFC0C0C0"/>
      </bottom>
      <diagonal/>
    </border>
    <border diagonalUp="false" diagonalDown="false">
      <left style="thin"/>
      <right style="thin">
        <color rgb="FFC0C0C0"/>
      </right>
      <top/>
      <bottom/>
      <diagonal/>
    </border>
    <border diagonalUp="false" diagonalDown="false">
      <left style="thin"/>
      <right style="thin">
        <color rgb="FFC0C0C0"/>
      </right>
      <top style="thin">
        <color rgb="FFC0C0C0"/>
      </top>
      <bottom style="thin"/>
      <diagonal/>
    </border>
    <border diagonalUp="false" diagonalDown="false">
      <left style="thin"/>
      <right style="thin">
        <color rgb="FFC0C0C0"/>
      </right>
      <top style="thin">
        <color rgb="FFC0C0C0"/>
      </top>
      <bottom style="thin">
        <color rgb="FFC0C0C0"/>
      </bottom>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color rgb="FFC0C0C0"/>
      </left>
      <right style="thin">
        <color rgb="FFC0C0C0"/>
      </right>
      <top style="thin">
        <color rgb="FFC0C0C0"/>
      </top>
      <bottom/>
      <diagonal/>
    </border>
    <border diagonalUp="false" diagonalDown="false">
      <left style="medium"/>
      <right style="medium"/>
      <top style="medium"/>
      <bottom/>
      <diagonal/>
    </border>
    <border diagonalUp="false" diagonalDown="false">
      <left/>
      <right/>
      <top style="thin">
        <color rgb="FFC0C0C0"/>
      </top>
      <bottom style="thin">
        <color rgb="FFC0C0C0"/>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right style="thin">
        <color rgb="FFC0C0C0"/>
      </right>
      <top style="thin">
        <color rgb="FFC0C0C0"/>
      </top>
      <bottom style="thin">
        <color rgb="FFC0C0C0"/>
      </bottom>
      <diagonal/>
    </border>
    <border diagonalUp="false" diagonalDown="false">
      <left style="medium"/>
      <right/>
      <top/>
      <bottom/>
      <diagonal/>
    </border>
    <border diagonalUp="false" diagonalDown="false">
      <left/>
      <right style="medium"/>
      <top/>
      <bottom/>
      <diagonal/>
    </border>
    <border diagonalUp="false" diagonalDown="false">
      <left style="medium"/>
      <right style="medium"/>
      <top/>
      <bottom/>
      <diagonal/>
    </border>
    <border diagonalUp="false" diagonalDown="false">
      <left style="medium"/>
      <right/>
      <top/>
      <bottom style="thin">
        <color rgb="FFC0C0C0"/>
      </bottom>
      <diagonal/>
    </border>
    <border diagonalUp="false" diagonalDown="false">
      <left/>
      <right/>
      <top/>
      <bottom style="thin">
        <color rgb="FFC0C0C0"/>
      </bottom>
      <diagonal/>
    </border>
    <border diagonalUp="false" diagonalDown="false">
      <left/>
      <right style="medium"/>
      <top/>
      <bottom style="thin">
        <color rgb="FFC0C0C0"/>
      </bottom>
      <diagonal/>
    </border>
    <border diagonalUp="false" diagonalDown="false">
      <left style="thin">
        <color rgb="FFC0C0C0"/>
      </left>
      <right style="medium"/>
      <top style="thin">
        <color rgb="FFC0C0C0"/>
      </top>
      <bottom style="thin">
        <color rgb="FFC0C0C0"/>
      </bottom>
      <diagonal/>
    </border>
    <border diagonalUp="false" diagonalDown="false">
      <left style="medium"/>
      <right style="thin">
        <color rgb="FFC0C0C0"/>
      </right>
      <top style="thin">
        <color rgb="FFC0C0C0"/>
      </top>
      <bottom style="thin">
        <color rgb="FFC0C0C0"/>
      </bottom>
      <diagonal/>
    </border>
    <border diagonalUp="false" diagonalDown="false">
      <left style="thin"/>
      <right style="medium"/>
      <top style="thin"/>
      <bottom/>
      <diagonal/>
    </border>
    <border diagonalUp="false" diagonalDown="false">
      <left style="thin"/>
      <right style="medium"/>
      <top/>
      <bottom style="thin"/>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medium"/>
      <right style="thin">
        <color rgb="FFC0C0C0"/>
      </right>
      <top/>
      <bottom style="medium"/>
      <diagonal/>
    </border>
    <border diagonalUp="false" diagonalDown="false">
      <left style="thin">
        <color rgb="FFC0C0C0"/>
      </left>
      <right style="thin">
        <color rgb="FFC0C0C0"/>
      </right>
      <top/>
      <bottom style="medium"/>
      <diagonal/>
    </border>
    <border diagonalUp="false" diagonalDown="false">
      <left style="thin">
        <color rgb="FFC0C0C0"/>
      </left>
      <right style="medium"/>
      <top/>
      <bottom style="medium"/>
      <diagonal/>
    </border>
    <border diagonalUp="false" diagonalDown="false">
      <left style="thin">
        <color rgb="FFC0C0C0"/>
      </left>
      <right style="thin">
        <color rgb="FFC0C0C0"/>
      </right>
      <top/>
      <bottom style="thin">
        <color rgb="FFC0C0C0"/>
      </bottom>
      <diagonal/>
    </border>
  </borders>
  <cellStyleXfs count="3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4" fillId="2" borderId="1" applyFont="true" applyBorder="true" applyAlignment="true" applyProtection="true">
      <alignment horizontal="left" vertical="center" textRotation="0" wrapText="false" indent="1" shrinkToFit="false"/>
      <protection locked="false" hidden="false"/>
    </xf>
    <xf numFmtId="164" fontId="5" fillId="3" borderId="0" applyFont="true" applyBorder="false" applyAlignment="true" applyProtection="true">
      <alignment horizontal="left" vertical="center" textRotation="0" wrapText="false" indent="1" shrinkToFit="false"/>
      <protection locked="false" hidden="false"/>
    </xf>
    <xf numFmtId="164" fontId="4" fillId="4" borderId="1" applyFont="true" applyBorder="true" applyAlignment="true" applyProtection="true">
      <alignment horizontal="center" vertical="center" textRotation="0" wrapText="false" indent="0" shrinkToFit="false"/>
      <protection locked="false" hidden="false"/>
    </xf>
    <xf numFmtId="164" fontId="6" fillId="4" borderId="2" applyFont="true" applyBorder="true" applyAlignment="true" applyProtection="true">
      <alignment horizontal="center" vertical="bottom" textRotation="0" wrapText="false" indent="0" shrinkToFit="false"/>
      <protection locked="false" hidden="false"/>
    </xf>
    <xf numFmtId="164" fontId="5" fillId="2" borderId="1" applyFont="true" applyBorder="true" applyAlignment="true" applyProtection="true">
      <alignment horizontal="center" vertical="bottom" textRotation="0" wrapText="false" indent="0" shrinkToFit="false"/>
      <protection locked="false" hidden="false"/>
    </xf>
    <xf numFmtId="164" fontId="4" fillId="2" borderId="1" applyFont="true" applyBorder="true" applyAlignment="true" applyProtection="true">
      <alignment horizontal="left" vertical="center" textRotation="0" wrapText="false" indent="1" shrinkToFit="false"/>
      <protection locked="false" hidden="false"/>
    </xf>
    <xf numFmtId="166" fontId="5" fillId="2" borderId="1" applyFont="true" applyBorder="true" applyAlignment="true" applyProtection="true">
      <alignment horizontal="center" vertical="bottom" textRotation="0" wrapText="false" indent="0" shrinkToFit="false"/>
      <protection locked="false" hidden="false"/>
    </xf>
    <xf numFmtId="164" fontId="4" fillId="2" borderId="1" applyFont="true" applyBorder="true" applyAlignment="true" applyProtection="true">
      <alignment horizontal="left" vertical="top" textRotation="0" wrapText="false" indent="1" shrinkToFit="false"/>
      <protection locked="false" hidden="false"/>
    </xf>
    <xf numFmtId="164" fontId="4" fillId="2" borderId="1" applyFont="true" applyBorder="true" applyAlignment="true" applyProtection="true">
      <alignment horizontal="center" vertical="center" textRotation="0" wrapText="false" indent="0" shrinkToFit="false"/>
      <protection locked="false" hidden="false"/>
    </xf>
    <xf numFmtId="164" fontId="6" fillId="2" borderId="2" applyFont="true" applyBorder="true" applyAlignment="true" applyProtection="true">
      <alignment horizontal="center" vertical="bottom" textRotation="0" wrapText="false" indent="0" shrinkToFit="false"/>
      <protection locked="false" hidden="false"/>
    </xf>
    <xf numFmtId="164" fontId="5" fillId="2" borderId="1" applyFont="true" applyBorder="true" applyAlignment="true" applyProtection="true">
      <alignment horizontal="center" vertical="bottom" textRotation="0" wrapText="false" indent="0" shrinkToFit="false"/>
      <protection locked="false" hidden="false"/>
    </xf>
  </cellStyleXfs>
  <cellXfs count="265">
    <xf numFmtId="164" fontId="0" fillId="0" borderId="0" xfId="0" applyFont="false" applyBorder="false" applyAlignment="false" applyProtection="false">
      <alignment horizontal="general" vertical="bottom" textRotation="0" wrapText="false" indent="0" shrinkToFit="false"/>
      <protection locked="true" hidden="false"/>
    </xf>
    <xf numFmtId="167" fontId="7" fillId="0" borderId="0" xfId="0" applyFont="true" applyBorder="false" applyAlignment="true" applyProtection="false">
      <alignment horizontal="lef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7" fontId="9" fillId="0" borderId="1" xfId="0" applyFont="true" applyBorder="true" applyAlignment="true" applyProtection="false">
      <alignment horizontal="center"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4" fillId="2" borderId="1" xfId="25" applyFont="true" applyBorder="true" applyAlignment="true" applyProtection="true">
      <alignment horizontal="left" vertical="center" textRotation="0" wrapText="false" indent="1" shrinkToFit="false"/>
      <protection locked="false" hidden="false"/>
    </xf>
    <xf numFmtId="167" fontId="10" fillId="0" borderId="1" xfId="0" applyFont="true" applyBorder="true" applyAlignment="true" applyProtection="false">
      <alignment horizontal="center" vertical="center" textRotation="0" wrapText="true" indent="0" shrinkToFit="false"/>
      <protection locked="true" hidden="false"/>
    </xf>
    <xf numFmtId="167" fontId="10" fillId="0" borderId="1" xfId="0" applyFont="true" applyBorder="true" applyAlignment="true" applyProtection="false">
      <alignment horizontal="center" vertical="bottom" textRotation="0" wrapText="false" indent="0" shrinkToFit="false"/>
      <protection locked="true" hidden="false"/>
    </xf>
    <xf numFmtId="167" fontId="10" fillId="5" borderId="2" xfId="0" applyFont="true" applyBorder="true" applyAlignment="true" applyProtection="false">
      <alignment horizontal="left" vertical="bottom" textRotation="0" wrapText="false" indent="0" shrinkToFit="false"/>
      <protection locked="true" hidden="false"/>
    </xf>
    <xf numFmtId="167" fontId="0" fillId="0" borderId="1" xfId="0" applyFont="false" applyBorder="true" applyAlignment="true" applyProtection="false">
      <alignment horizontal="center" vertical="center" textRotation="0" wrapText="tru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6" fontId="10" fillId="0" borderId="3" xfId="0" applyFont="true" applyBorder="true" applyAlignment="true" applyProtection="false">
      <alignment horizontal="center" vertical="bottom" textRotation="0" wrapText="false" indent="0" shrinkToFit="false"/>
      <protection locked="true" hidden="false"/>
    </xf>
    <xf numFmtId="166" fontId="0" fillId="0" borderId="3" xfId="0" applyFont="false" applyBorder="true" applyAlignment="true" applyProtection="false">
      <alignment horizontal="center" vertical="bottom" textRotation="0" wrapText="false" indent="0" shrinkToFit="false"/>
      <protection locked="true" hidden="false"/>
    </xf>
    <xf numFmtId="164" fontId="0" fillId="6" borderId="3" xfId="0" applyFont="false" applyBorder="true" applyAlignment="true" applyProtection="false">
      <alignment horizontal="center" vertical="bottom" textRotation="0" wrapText="false" indent="0" shrinkToFit="false"/>
      <protection locked="true" hidden="false"/>
    </xf>
    <xf numFmtId="169" fontId="0" fillId="0" borderId="4" xfId="0" applyFont="false" applyBorder="true" applyAlignment="true" applyProtection="false">
      <alignment horizontal="center" vertical="bottom" textRotation="0" wrapText="false" indent="0" shrinkToFit="false"/>
      <protection locked="true" hidden="false"/>
    </xf>
    <xf numFmtId="169" fontId="0" fillId="0" borderId="3" xfId="0" applyFont="false" applyBorder="true" applyAlignment="true" applyProtection="false">
      <alignment horizontal="center" vertical="bottom" textRotation="0" wrapText="false" indent="0" shrinkToFit="false"/>
      <protection locked="true" hidden="false"/>
    </xf>
    <xf numFmtId="164" fontId="11" fillId="0" borderId="0" xfId="0" applyFont="true" applyBorder="false" applyAlignment="true" applyProtection="false">
      <alignment horizontal="center" vertical="bottom" textRotation="0" wrapText="false" indent="0" shrinkToFit="false"/>
      <protection locked="true" hidden="false"/>
    </xf>
    <xf numFmtId="165" fontId="4" fillId="2" borderId="1" xfId="20" applyFont="true" applyBorder="true" applyAlignment="true" applyProtection="true">
      <alignment horizontal="left" vertical="center" textRotation="0" wrapText="false" indent="1" shrinkToFit="false"/>
      <protection locked="false" hidden="false"/>
    </xf>
    <xf numFmtId="167" fontId="8" fillId="0" borderId="0" xfId="0" applyFont="true" applyBorder="false" applyAlignment="true" applyProtection="false">
      <alignment horizontal="center" vertical="bottom" textRotation="0" wrapText="false" indent="0" shrinkToFit="false"/>
      <protection locked="true" hidden="false"/>
    </xf>
    <xf numFmtId="164" fontId="10" fillId="0" borderId="2" xfId="0" applyFont="true" applyBorder="true" applyAlignment="false" applyProtection="false">
      <alignment horizontal="general" vertical="bottom" textRotation="0" wrapText="false" indent="0" shrinkToFit="false"/>
      <protection locked="true" hidden="false"/>
    </xf>
    <xf numFmtId="164" fontId="8" fillId="0" borderId="1" xfId="0" applyFont="true" applyBorder="true" applyAlignment="true" applyProtection="false">
      <alignment horizontal="left" vertical="bottom" textRotation="0" wrapText="false" indent="0" shrinkToFit="false"/>
      <protection locked="true" hidden="false"/>
    </xf>
    <xf numFmtId="164" fontId="8" fillId="0" borderId="1" xfId="0" applyFont="true" applyBorder="true" applyAlignment="true" applyProtection="false">
      <alignment horizontal="center" vertical="bottom" textRotation="0" wrapText="false" indent="0" shrinkToFit="false"/>
      <protection locked="true" hidden="false"/>
    </xf>
    <xf numFmtId="164" fontId="9" fillId="0" borderId="4" xfId="0" applyFont="true" applyBorder="true" applyAlignment="true" applyProtection="false">
      <alignment horizontal="center" vertical="bottom" textRotation="0" wrapText="false" indent="0" shrinkToFit="false"/>
      <protection locked="true" hidden="false"/>
    </xf>
    <xf numFmtId="170" fontId="9" fillId="0" borderId="4" xfId="0" applyFont="true" applyBorder="true" applyAlignment="true" applyProtection="false">
      <alignment horizontal="center" vertical="bottom" textRotation="0" wrapText="false" indent="0" shrinkToFit="false"/>
      <protection locked="true" hidden="false"/>
    </xf>
    <xf numFmtId="164" fontId="9" fillId="0" borderId="3" xfId="0" applyFont="true" applyBorder="true" applyAlignment="true" applyProtection="false">
      <alignment horizontal="center" vertical="bottom" textRotation="0" wrapText="false" indent="0" shrinkToFit="false"/>
      <protection locked="true" hidden="false"/>
    </xf>
    <xf numFmtId="170" fontId="9" fillId="0" borderId="3" xfId="0" applyFont="true" applyBorder="true" applyAlignment="true" applyProtection="false">
      <alignment horizontal="center" vertical="bottom" textRotation="0" wrapText="false" indent="0" shrinkToFit="false"/>
      <protection locked="true" hidden="false"/>
    </xf>
    <xf numFmtId="166" fontId="10" fillId="0" borderId="5" xfId="0" applyFont="true" applyBorder="true" applyAlignment="true" applyProtection="false">
      <alignment horizontal="center" vertical="bottom" textRotation="0" wrapText="false" indent="0" shrinkToFit="false"/>
      <protection locked="true" hidden="false"/>
    </xf>
    <xf numFmtId="166" fontId="0" fillId="0" borderId="5" xfId="0" applyFont="false" applyBorder="true" applyAlignment="true" applyProtection="false">
      <alignment horizontal="center" vertical="bottom" textRotation="0" wrapText="false" indent="0" shrinkToFit="false"/>
      <protection locked="true" hidden="false"/>
    </xf>
    <xf numFmtId="164" fontId="0" fillId="6" borderId="5" xfId="0" applyFont="false" applyBorder="true" applyAlignment="true" applyProtection="false">
      <alignment horizontal="center" vertical="bottom" textRotation="0" wrapText="false" indent="0" shrinkToFit="false"/>
      <protection locked="true" hidden="false"/>
    </xf>
    <xf numFmtId="169" fontId="0" fillId="0" borderId="5" xfId="0" applyFont="false" applyBorder="true" applyAlignment="true" applyProtection="false">
      <alignment horizontal="center" vertical="bottom" textRotation="0" wrapText="false" indent="0" shrinkToFit="false"/>
      <protection locked="true" hidden="false"/>
    </xf>
    <xf numFmtId="164" fontId="9" fillId="0" borderId="5" xfId="0" applyFont="true" applyBorder="true" applyAlignment="true" applyProtection="false">
      <alignment horizontal="center" vertical="bottom" textRotation="0" wrapText="false" indent="0" shrinkToFit="false"/>
      <protection locked="true" hidden="false"/>
    </xf>
    <xf numFmtId="170" fontId="9" fillId="0" borderId="5"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6" fontId="9"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4" fontId="5" fillId="3" borderId="1" xfId="0" applyFont="true" applyBorder="true" applyAlignment="true" applyProtection="true">
      <alignment horizontal="left" vertical="center" textRotation="0" wrapText="false" indent="1" shrinkToFit="false"/>
      <protection locked="false" hidden="false"/>
    </xf>
    <xf numFmtId="167"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7" fontId="8" fillId="0" borderId="0" xfId="0" applyFont="true" applyBorder="false" applyAlignment="true" applyProtection="false">
      <alignment horizontal="left" vertical="bottom" textRotation="0" wrapText="false" indent="0" shrinkToFit="false"/>
      <protection locked="true" hidden="false"/>
    </xf>
    <xf numFmtId="164" fontId="5" fillId="4" borderId="1" xfId="0" applyFont="true" applyBorder="true" applyAlignment="true" applyProtection="true">
      <alignment horizontal="center" vertical="center" textRotation="0" wrapText="false" indent="0" shrinkToFit="false"/>
      <protection locked="false" hidden="false"/>
    </xf>
    <xf numFmtId="164" fontId="15" fillId="0" borderId="0" xfId="0" applyFont="true" applyBorder="true" applyAlignment="true" applyProtection="false">
      <alignment horizontal="center" vertical="center" textRotation="0" wrapText="true" indent="0" shrinkToFit="false"/>
      <protection locked="true" hidden="false"/>
    </xf>
    <xf numFmtId="167" fontId="16" fillId="0" borderId="0" xfId="0" applyFont="true" applyBorder="false" applyAlignment="true" applyProtection="false">
      <alignment horizontal="left" vertical="bottom" textRotation="0" wrapText="false" indent="0" shrinkToFit="false"/>
      <protection locked="true" hidden="false"/>
    </xf>
    <xf numFmtId="164" fontId="4" fillId="4" borderId="1" xfId="22" applyFont="true" applyBorder="true" applyAlignment="true" applyProtection="true">
      <alignment horizontal="center" vertical="center" textRotation="0" wrapText="false" indent="0" shrinkToFit="false"/>
      <protection locked="false" hidden="false"/>
    </xf>
    <xf numFmtId="164" fontId="13" fillId="0" borderId="0" xfId="0" applyFont="true" applyBorder="true" applyAlignment="true" applyProtection="false">
      <alignment horizontal="left" vertical="center" textRotation="0" wrapText="true" indent="0" shrinkToFit="false"/>
      <protection locked="true" hidden="false"/>
    </xf>
    <xf numFmtId="167" fontId="11" fillId="0" borderId="0" xfId="0" applyFont="true" applyBorder="false" applyAlignment="true" applyProtection="false">
      <alignment horizontal="left" vertical="bottom" textRotation="0" wrapText="false" indent="0" shrinkToFit="false"/>
      <protection locked="true" hidden="false"/>
    </xf>
    <xf numFmtId="164" fontId="17" fillId="0" borderId="0" xfId="0" applyFont="true" applyBorder="false" applyAlignment="true" applyProtection="false">
      <alignment horizontal="right" vertical="bottom" textRotation="0" wrapText="false" indent="0" shrinkToFit="false"/>
      <protection locked="true" hidden="false"/>
    </xf>
    <xf numFmtId="171" fontId="4" fillId="4" borderId="1" xfId="22" applyFont="true" applyBorder="true" applyAlignment="true" applyProtection="true">
      <alignment horizontal="center" vertical="center" textRotation="0" wrapText="false" indent="0" shrinkToFit="false"/>
      <protection locked="false" hidden="false"/>
    </xf>
    <xf numFmtId="172" fontId="10" fillId="0" borderId="0" xfId="15" applyFont="true" applyBorder="true" applyAlignment="true" applyProtection="true">
      <alignment horizontal="general" vertical="bottom" textRotation="0" wrapText="false" indent="0" shrinkToFit="false"/>
      <protection locked="true" hidden="false"/>
    </xf>
    <xf numFmtId="171" fontId="16" fillId="0" borderId="1" xfId="0" applyFont="true" applyBorder="true" applyAlignment="true" applyProtection="false">
      <alignment horizontal="center" vertical="bottom" textRotation="0" wrapText="false" indent="0" shrinkToFit="false"/>
      <protection locked="true" hidden="false"/>
    </xf>
    <xf numFmtId="164" fontId="4" fillId="2" borderId="1" xfId="28" applyFont="true" applyBorder="true" applyAlignment="true" applyProtection="true">
      <alignment horizontal="center" vertical="center" textRotation="0" wrapText="false" indent="0" shrinkToFit="false"/>
      <protection locked="fals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73" fontId="16" fillId="0" borderId="6" xfId="0" applyFont="true" applyBorder="true" applyAlignment="true" applyProtection="false">
      <alignment horizontal="center" vertical="bottom" textRotation="0" wrapText="false" indent="0" shrinkToFit="false"/>
      <protection locked="true" hidden="false"/>
    </xf>
    <xf numFmtId="174" fontId="16" fillId="0" borderId="1" xfId="0" applyFont="true" applyBorder="true" applyAlignment="true" applyProtection="false">
      <alignment horizontal="center" vertical="bottom" textRotation="0" wrapText="false" indent="0" shrinkToFit="false"/>
      <protection locked="true" hidden="false"/>
    </xf>
    <xf numFmtId="164" fontId="4" fillId="2" borderId="7" xfId="27" applyFont="true" applyBorder="true" applyAlignment="true" applyProtection="true">
      <alignment horizontal="left" vertical="top" textRotation="0" wrapText="false" indent="1" shrinkToFit="false"/>
      <protection locked="false" hidden="false"/>
    </xf>
    <xf numFmtId="164" fontId="4" fillId="2" borderId="8" xfId="27" applyFont="true" applyBorder="true" applyAlignment="true" applyProtection="true">
      <alignment horizontal="left" vertical="top" textRotation="0" wrapText="false" indent="1" shrinkToFit="false"/>
      <protection locked="false" hidden="false"/>
    </xf>
    <xf numFmtId="164" fontId="4" fillId="2" borderId="9" xfId="27" applyFont="true" applyBorder="true" applyAlignment="true" applyProtection="true">
      <alignment horizontal="left" vertical="top" textRotation="0" wrapText="false" indent="1" shrinkToFit="false"/>
      <protection locked="false" hidden="false"/>
    </xf>
    <xf numFmtId="164" fontId="4" fillId="2" borderId="10" xfId="27" applyFont="true" applyBorder="true" applyAlignment="true" applyProtection="true">
      <alignment horizontal="left" vertical="top" textRotation="0" wrapText="false" indent="1" shrinkToFit="false"/>
      <protection locked="false" hidden="false"/>
    </xf>
    <xf numFmtId="164" fontId="4" fillId="2" borderId="0" xfId="27" applyFont="true" applyBorder="true" applyAlignment="true" applyProtection="true">
      <alignment horizontal="left" vertical="top" textRotation="0" wrapText="false" indent="1" shrinkToFit="false"/>
      <protection locked="false" hidden="false"/>
    </xf>
    <xf numFmtId="164" fontId="4" fillId="2" borderId="11" xfId="27" applyFont="true" applyBorder="true" applyAlignment="true" applyProtection="true">
      <alignment horizontal="left" vertical="top" textRotation="0" wrapText="false" indent="1" shrinkToFit="false"/>
      <protection locked="false" hidden="false"/>
    </xf>
    <xf numFmtId="164" fontId="4" fillId="2" borderId="12" xfId="27" applyFont="true" applyBorder="true" applyAlignment="true" applyProtection="true">
      <alignment horizontal="left" vertical="top" textRotation="0" wrapText="false" indent="1" shrinkToFit="false"/>
      <protection locked="false" hidden="false"/>
    </xf>
    <xf numFmtId="164" fontId="4" fillId="2" borderId="13" xfId="27" applyFont="true" applyBorder="true" applyAlignment="true" applyProtection="true">
      <alignment horizontal="left" vertical="top" textRotation="0" wrapText="false" indent="1" shrinkToFit="false"/>
      <protection locked="false" hidden="false"/>
    </xf>
    <xf numFmtId="164" fontId="4" fillId="2" borderId="14" xfId="27" applyFont="true" applyBorder="true" applyAlignment="true" applyProtection="true">
      <alignment horizontal="left" vertical="top" textRotation="0" wrapText="false" indent="1" shrinkToFit="false"/>
      <protection locked="false" hidden="false"/>
    </xf>
    <xf numFmtId="167" fontId="10" fillId="5" borderId="2" xfId="0" applyFont="true" applyBorder="true" applyAlignment="true" applyProtection="false">
      <alignment horizontal="center" vertical="bottom" textRotation="0" wrapText="false" indent="0" shrinkToFit="false"/>
      <protection locked="true" hidden="false"/>
    </xf>
    <xf numFmtId="167" fontId="0" fillId="5" borderId="15" xfId="0" applyFont="false" applyBorder="true" applyAlignment="true" applyProtection="false">
      <alignment horizontal="center" vertical="bottom" textRotation="0" wrapText="false" indent="0" shrinkToFit="false"/>
      <protection locked="true" hidden="false"/>
    </xf>
    <xf numFmtId="164" fontId="0" fillId="5" borderId="16" xfId="0" applyFont="false" applyBorder="true" applyAlignment="true" applyProtection="false">
      <alignment horizontal="center" vertical="bottom" textRotation="0" wrapText="false" indent="0" shrinkToFit="false"/>
      <protection locked="true" hidden="false"/>
    </xf>
    <xf numFmtId="167" fontId="0" fillId="0" borderId="9" xfId="0" applyFont="false" applyBorder="true" applyAlignment="true" applyProtection="false">
      <alignment horizontal="center" vertical="bottom" textRotation="0" wrapText="false" indent="0" shrinkToFit="false"/>
      <protection locked="true" hidden="false"/>
    </xf>
    <xf numFmtId="164" fontId="0" fillId="5" borderId="17" xfId="0" applyFont="false" applyBorder="true" applyAlignment="true" applyProtection="false">
      <alignment horizontal="center" vertical="bottom" textRotation="0" wrapText="false" indent="0" shrinkToFit="false"/>
      <protection locked="true" hidden="false"/>
    </xf>
    <xf numFmtId="167" fontId="0" fillId="0" borderId="11" xfId="0" applyFont="false" applyBorder="true" applyAlignment="true" applyProtection="false">
      <alignment horizontal="center" vertical="bottom" textRotation="0" wrapText="false" indent="0" shrinkToFit="false"/>
      <protection locked="true" hidden="false"/>
    </xf>
    <xf numFmtId="164" fontId="0" fillId="5" borderId="18" xfId="0" applyFont="false" applyBorder="true" applyAlignment="true" applyProtection="false">
      <alignment horizontal="center" vertical="bottom" textRotation="0" wrapText="false" indent="0" shrinkToFit="false"/>
      <protection locked="true" hidden="false"/>
    </xf>
    <xf numFmtId="167" fontId="0" fillId="0" borderId="14" xfId="0" applyFont="false" applyBorder="true" applyAlignment="true" applyProtection="false">
      <alignment horizontal="center"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5" borderId="19" xfId="0" applyFont="false" applyBorder="true" applyAlignment="true" applyProtection="false">
      <alignment horizontal="center"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9" fillId="0" borderId="2" xfId="0" applyFont="true" applyBorder="true" applyAlignment="false" applyProtection="false">
      <alignment horizontal="general" vertical="bottom" textRotation="0" wrapText="false" indent="0" shrinkToFit="false"/>
      <protection locked="true" hidden="false"/>
    </xf>
    <xf numFmtId="164" fontId="20" fillId="5" borderId="2" xfId="0" applyFont="true" applyBorder="true" applyAlignment="false" applyProtection="false">
      <alignment horizontal="general" vertical="bottom" textRotation="0" wrapText="false" indent="0" shrinkToFit="false"/>
      <protection locked="true" hidden="false"/>
    </xf>
    <xf numFmtId="167" fontId="0" fillId="5" borderId="2" xfId="0" applyFont="false" applyBorder="true" applyAlignment="false" applyProtection="false">
      <alignment horizontal="general" vertical="bottom" textRotation="0" wrapText="false" indent="0" shrinkToFit="false"/>
      <protection locked="true" hidden="false"/>
    </xf>
    <xf numFmtId="164" fontId="21" fillId="5" borderId="2" xfId="0" applyFont="true" applyBorder="true" applyAlignment="false" applyProtection="false">
      <alignment horizontal="general" vertical="bottom" textRotation="0" wrapText="false" indent="0" shrinkToFit="false"/>
      <protection locked="true" hidden="false"/>
    </xf>
    <xf numFmtId="164" fontId="0" fillId="5" borderId="2" xfId="0" applyFont="true" applyBorder="true" applyAlignment="true" applyProtection="false">
      <alignment horizontal="center" vertical="bottom" textRotation="0" wrapText="false" indent="0" shrinkToFit="false"/>
      <protection locked="true" hidden="false"/>
    </xf>
    <xf numFmtId="164" fontId="22" fillId="5" borderId="2" xfId="0" applyFont="true" applyBorder="true" applyAlignment="false" applyProtection="false">
      <alignment horizontal="general" vertical="bottom" textRotation="0" wrapText="false" indent="0" shrinkToFit="false"/>
      <protection locked="true" hidden="false"/>
    </xf>
    <xf numFmtId="164" fontId="10" fillId="5" borderId="2" xfId="0" applyFont="true" applyBorder="true" applyAlignment="false" applyProtection="false">
      <alignment horizontal="general" vertical="bottom" textRotation="0" wrapText="false" indent="0" shrinkToFit="false"/>
      <protection locked="true" hidden="false"/>
    </xf>
    <xf numFmtId="164" fontId="23" fillId="5" borderId="2" xfId="0" applyFont="true" applyBorder="true" applyAlignment="false" applyProtection="false">
      <alignment horizontal="general" vertical="bottom" textRotation="0" wrapText="false" indent="0" shrinkToFit="false"/>
      <protection locked="true" hidden="false"/>
    </xf>
    <xf numFmtId="164" fontId="22" fillId="5" borderId="2" xfId="0" applyFont="true" applyBorder="true" applyAlignment="true" applyProtection="false">
      <alignment horizontal="general" vertical="bottom" textRotation="0" wrapText="true" indent="0" shrinkToFit="false"/>
      <protection locked="true" hidden="false"/>
    </xf>
    <xf numFmtId="164" fontId="23" fillId="5" borderId="2" xfId="0" applyFont="true" applyBorder="true" applyAlignment="true" applyProtection="false">
      <alignment horizontal="general" vertical="bottom" textRotation="0" wrapText="true" indent="0" shrinkToFit="false"/>
      <protection locked="true" hidden="false"/>
    </xf>
    <xf numFmtId="164" fontId="23" fillId="5" borderId="2" xfId="0" applyFont="true" applyBorder="true" applyAlignment="true" applyProtection="false">
      <alignment horizontal="general" vertical="top" textRotation="0" wrapText="false" indent="0" shrinkToFit="false"/>
      <protection locked="true" hidden="false"/>
    </xf>
    <xf numFmtId="164" fontId="10" fillId="7" borderId="0" xfId="0" applyFont="true" applyBorder="false" applyAlignment="false" applyProtection="false">
      <alignment horizontal="general"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64" fontId="10" fillId="9" borderId="0" xfId="0" applyFont="true" applyBorder="false" applyAlignment="false" applyProtection="false">
      <alignment horizontal="general" vertical="bottom" textRotation="0" wrapText="false" indent="0" shrinkToFit="false"/>
      <protection locked="true" hidden="false"/>
    </xf>
    <xf numFmtId="164" fontId="10" fillId="10" borderId="0" xfId="0" applyFont="true" applyBorder="false" applyAlignment="false" applyProtection="false">
      <alignment horizontal="general" vertical="bottom" textRotation="0" wrapText="false" indent="0" shrinkToFit="false"/>
      <protection locked="true" hidden="false"/>
    </xf>
    <xf numFmtId="164" fontId="10" fillId="11" borderId="0" xfId="0" applyFont="true" applyBorder="false" applyAlignment="false" applyProtection="false">
      <alignment horizontal="general" vertical="bottom" textRotation="0" wrapText="false" indent="0" shrinkToFit="false"/>
      <protection locked="true" hidden="false"/>
    </xf>
    <xf numFmtId="164" fontId="10" fillId="12" borderId="0" xfId="0" applyFont="true" applyBorder="false" applyAlignment="true" applyProtection="false">
      <alignment horizontal="center" vertical="bottom" textRotation="0" wrapText="false" indent="0" shrinkToFit="false"/>
      <protection locked="true" hidden="false"/>
    </xf>
    <xf numFmtId="164" fontId="0" fillId="13" borderId="0" xfId="0" applyFont="true" applyBorder="false" applyAlignment="true" applyProtection="false">
      <alignment horizontal="center"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164" fontId="10" fillId="14" borderId="0" xfId="0" applyFont="true" applyBorder="false" applyAlignment="true" applyProtection="false">
      <alignment horizontal="center" vertical="bottom" textRotation="0" wrapText="false" indent="0" shrinkToFit="false"/>
      <protection locked="true" hidden="false"/>
    </xf>
    <xf numFmtId="164" fontId="0" fillId="15" borderId="2" xfId="0" applyFont="false" applyBorder="true" applyAlignment="false" applyProtection="false">
      <alignment horizontal="general" vertical="bottom" textRotation="0" wrapText="false" indent="0" shrinkToFit="false"/>
      <protection locked="true" hidden="false"/>
    </xf>
    <xf numFmtId="164" fontId="0" fillId="15" borderId="2" xfId="0" applyFont="false" applyBorder="true" applyAlignment="true" applyProtection="false">
      <alignment horizontal="center" vertical="bottom" textRotation="0" wrapText="false" indent="0" shrinkToFit="false"/>
      <protection locked="true" hidden="false"/>
    </xf>
    <xf numFmtId="164" fontId="10" fillId="15" borderId="2" xfId="0" applyFont="true" applyBorder="true" applyAlignment="false" applyProtection="false">
      <alignment horizontal="general" vertical="bottom" textRotation="0" wrapText="false" indent="0" shrinkToFit="false"/>
      <protection locked="true" hidden="false"/>
    </xf>
    <xf numFmtId="164" fontId="10" fillId="15" borderId="2" xfId="0" applyFont="true" applyBorder="true" applyAlignment="true" applyProtection="false">
      <alignment horizontal="center" vertical="bottom" textRotation="0" wrapText="false" indent="0" shrinkToFit="false"/>
      <protection locked="true" hidden="false"/>
    </xf>
    <xf numFmtId="164" fontId="10" fillId="14" borderId="2" xfId="0" applyFont="true" applyBorder="true" applyAlignment="false" applyProtection="false">
      <alignment horizontal="general" vertical="bottom" textRotation="0" wrapText="false" indent="0" shrinkToFit="false"/>
      <protection locked="true" hidden="false"/>
    </xf>
    <xf numFmtId="164" fontId="10" fillId="14" borderId="2" xfId="0" applyFont="true" applyBorder="true" applyAlignment="true" applyProtection="false">
      <alignment horizontal="center" vertical="bottom" textRotation="0" wrapText="false" indent="0" shrinkToFit="false"/>
      <protection locked="true" hidden="false"/>
    </xf>
    <xf numFmtId="164" fontId="0" fillId="13" borderId="2" xfId="0" applyFont="true" applyBorder="true" applyAlignment="false" applyProtection="false">
      <alignment horizontal="general" vertical="bottom" textRotation="0" wrapText="false" indent="0" shrinkToFit="false"/>
      <protection locked="true" hidden="false"/>
    </xf>
    <xf numFmtId="164" fontId="0" fillId="13" borderId="2" xfId="0" applyFont="true" applyBorder="true" applyAlignment="true" applyProtection="false">
      <alignment horizontal="center" vertical="bottom" textRotation="0" wrapText="false" indent="0" shrinkToFit="false"/>
      <protection locked="true" hidden="false"/>
    </xf>
    <xf numFmtId="164" fontId="10" fillId="9" borderId="2" xfId="0" applyFont="true" applyBorder="true" applyAlignment="false" applyProtection="false">
      <alignment horizontal="general" vertical="bottom" textRotation="0" wrapText="false" indent="0" shrinkToFit="false"/>
      <protection locked="true" hidden="false"/>
    </xf>
    <xf numFmtId="164" fontId="10" fillId="9" borderId="2" xfId="0" applyFont="true" applyBorder="true" applyAlignment="true" applyProtection="false">
      <alignment horizontal="center" vertical="bottom" textRotation="0" wrapText="false" indent="0" shrinkToFit="false"/>
      <protection locked="true" hidden="false"/>
    </xf>
    <xf numFmtId="164" fontId="10" fillId="12" borderId="2" xfId="0" applyFont="true" applyBorder="true" applyAlignment="false" applyProtection="false">
      <alignment horizontal="general" vertical="bottom" textRotation="0" wrapText="false" indent="0" shrinkToFit="false"/>
      <protection locked="true" hidden="false"/>
    </xf>
    <xf numFmtId="164" fontId="10" fillId="12" borderId="2" xfId="0" applyFont="true" applyBorder="true" applyAlignment="true" applyProtection="false">
      <alignment horizontal="center" vertical="bottom" textRotation="0" wrapText="false" indent="0" shrinkToFit="false"/>
      <protection locked="true" hidden="false"/>
    </xf>
    <xf numFmtId="164" fontId="10" fillId="8" borderId="2" xfId="0" applyFont="true" applyBorder="true" applyAlignment="false" applyProtection="false">
      <alignment horizontal="general" vertical="bottom" textRotation="0" wrapText="false" indent="0" shrinkToFit="false"/>
      <protection locked="true" hidden="false"/>
    </xf>
    <xf numFmtId="164" fontId="10" fillId="8" borderId="2" xfId="0" applyFont="true" applyBorder="true" applyAlignment="true" applyProtection="false">
      <alignment horizontal="center" vertical="bottom" textRotation="0" wrapText="false" indent="0" shrinkToFit="false"/>
      <protection locked="true" hidden="false"/>
    </xf>
    <xf numFmtId="164" fontId="10" fillId="7" borderId="2" xfId="0" applyFont="true" applyBorder="true" applyAlignment="false" applyProtection="false">
      <alignment horizontal="general" vertical="bottom" textRotation="0" wrapText="false" indent="0" shrinkToFit="false"/>
      <protection locked="true" hidden="false"/>
    </xf>
    <xf numFmtId="164" fontId="10" fillId="7" borderId="2" xfId="0" applyFont="true" applyBorder="true" applyAlignment="true" applyProtection="false">
      <alignment horizontal="center" vertical="bottom" textRotation="0" wrapText="false" indent="0" shrinkToFit="false"/>
      <protection locked="true" hidden="false"/>
    </xf>
    <xf numFmtId="164" fontId="10" fillId="10" borderId="0" xfId="0" applyFont="true" applyBorder="false" applyAlignment="true" applyProtection="false">
      <alignment horizontal="center" vertical="bottom" textRotation="0" wrapText="false" indent="0" shrinkToFit="false"/>
      <protection locked="true" hidden="false"/>
    </xf>
    <xf numFmtId="167" fontId="45" fillId="0" borderId="0" xfId="0" applyFont="true" applyBorder="false" applyAlignment="true" applyProtection="false">
      <alignment horizontal="left" vertical="bottom" textRotation="0" wrapText="false" indent="0" shrinkToFit="false"/>
      <protection locked="true" hidden="false"/>
    </xf>
    <xf numFmtId="167" fontId="16" fillId="0" borderId="0" xfId="0" applyFont="true" applyBorder="false" applyAlignment="true" applyProtection="false">
      <alignment horizontal="right" vertical="bottom" textRotation="0" wrapText="false" indent="1" shrinkToFit="false"/>
      <protection locked="true" hidden="false"/>
    </xf>
    <xf numFmtId="167" fontId="16" fillId="0" borderId="0" xfId="0" applyFont="true" applyBorder="false" applyAlignment="false" applyProtection="false">
      <alignment horizontal="general" vertical="bottom" textRotation="0" wrapText="false" indent="0" shrinkToFit="false"/>
      <protection locked="true" hidden="false"/>
    </xf>
    <xf numFmtId="167" fontId="16" fillId="0" borderId="0" xfId="0" applyFont="true" applyBorder="false" applyAlignment="true" applyProtection="false">
      <alignment horizontal="left" vertical="bottom" textRotation="0" wrapText="false" indent="1" shrinkToFit="false"/>
      <protection locked="true" hidden="false"/>
    </xf>
    <xf numFmtId="167" fontId="46" fillId="5" borderId="0" xfId="0" applyFont="true" applyBorder="true" applyAlignment="true" applyProtection="false">
      <alignment horizontal="left" vertical="center" textRotation="0" wrapText="true" indent="0" shrinkToFit="false"/>
      <protection locked="true" hidden="false"/>
    </xf>
    <xf numFmtId="164" fontId="9" fillId="0" borderId="0" xfId="0" applyFont="true" applyBorder="false" applyAlignment="true" applyProtection="false">
      <alignment horizontal="general" vertical="center" textRotation="0" wrapText="true" indent="0" shrinkToFit="false"/>
      <protection locked="true" hidden="false"/>
    </xf>
    <xf numFmtId="167" fontId="47" fillId="0" borderId="0" xfId="0" applyFont="true" applyBorder="false" applyAlignment="true" applyProtection="false">
      <alignment horizontal="center" vertical="bottom" textRotation="0" wrapText="false" indent="0" shrinkToFit="false"/>
      <protection locked="true" hidden="false"/>
    </xf>
    <xf numFmtId="167" fontId="9" fillId="0" borderId="1" xfId="0" applyFont="true" applyBorder="true" applyAlignment="true" applyProtection="false">
      <alignment horizontal="center" vertical="center" textRotation="0" wrapText="false" indent="0" shrinkToFit="false"/>
      <protection locked="true" hidden="false"/>
    </xf>
    <xf numFmtId="164" fontId="9" fillId="0" borderId="12" xfId="0" applyFont="true" applyBorder="true" applyAlignment="true" applyProtection="false">
      <alignment horizontal="center" vertical="bottom" textRotation="0" wrapText="false" indent="0" shrinkToFit="false"/>
      <protection locked="true" hidden="false"/>
    </xf>
    <xf numFmtId="169" fontId="9" fillId="0" borderId="1" xfId="0" applyFont="true" applyBorder="true" applyAlignment="true" applyProtection="false">
      <alignment horizontal="center" vertical="bottom" textRotation="0" wrapText="false" indent="0" shrinkToFit="false"/>
      <protection locked="true" hidden="false"/>
    </xf>
    <xf numFmtId="169" fontId="0" fillId="0" borderId="1" xfId="0" applyFont="false" applyBorder="true" applyAlignment="true" applyProtection="false">
      <alignment horizontal="center" vertical="bottom" textRotation="0" wrapText="false" indent="0" shrinkToFit="false"/>
      <protection locked="true" hidden="false"/>
    </xf>
    <xf numFmtId="166" fontId="0" fillId="0" borderId="1" xfId="0" applyFont="false" applyBorder="true" applyAlignment="true" applyProtection="false">
      <alignment horizontal="center" vertical="bottom" textRotation="0" wrapText="false" indent="0" shrinkToFit="false"/>
      <protection locked="true" hidden="false"/>
    </xf>
    <xf numFmtId="166" fontId="0" fillId="0" borderId="4" xfId="0" applyFont="false" applyBorder="true" applyAlignment="true" applyProtection="false">
      <alignment horizontal="center" vertical="bottom" textRotation="0" wrapText="false" indent="0" shrinkToFit="false"/>
      <protection locked="true" hidden="false"/>
    </xf>
    <xf numFmtId="169" fontId="9" fillId="15" borderId="1" xfId="0" applyFont="true" applyBorder="true" applyAlignment="true" applyProtection="false">
      <alignment horizontal="center" vertical="bottom" textRotation="0" wrapText="false" indent="0" shrinkToFit="false"/>
      <protection locked="true" hidden="false"/>
    </xf>
    <xf numFmtId="169" fontId="9" fillId="0" borderId="20" xfId="0" applyFont="true" applyBorder="true" applyAlignment="true" applyProtection="false">
      <alignment horizontal="center" vertical="bottom" textRotation="0" wrapText="false" indent="0" shrinkToFit="false"/>
      <protection locked="true" hidden="false"/>
    </xf>
    <xf numFmtId="166" fontId="9" fillId="0" borderId="1" xfId="0" applyFont="true" applyBorder="true" applyAlignment="true" applyProtection="false">
      <alignment horizontal="center" vertical="bottom" textRotation="0" wrapText="false" indent="0" shrinkToFit="false"/>
      <protection locked="true" hidden="false"/>
    </xf>
    <xf numFmtId="166" fontId="0" fillId="0" borderId="0" xfId="0" applyFont="false" applyBorder="false" applyAlignment="true" applyProtection="false">
      <alignment horizontal="center"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xf numFmtId="164" fontId="0" fillId="0" borderId="21" xfId="0" applyFont="false" applyBorder="true" applyAlignment="false" applyProtection="false">
      <alignment horizontal="general" vertical="bottom" textRotation="0" wrapText="false" indent="0" shrinkToFit="false"/>
      <protection locked="true" hidden="false"/>
    </xf>
    <xf numFmtId="167" fontId="9" fillId="0" borderId="22" xfId="0" applyFont="true" applyBorder="true" applyAlignment="true" applyProtection="false">
      <alignment horizontal="right" vertical="bottom" textRotation="0" wrapText="false" indent="0" shrinkToFit="false"/>
      <protection locked="true" hidden="false"/>
    </xf>
    <xf numFmtId="166" fontId="9" fillId="15" borderId="22" xfId="0" applyFont="true" applyBorder="true" applyAlignment="true" applyProtection="false">
      <alignment horizontal="center" vertical="bottom" textRotation="0" wrapText="false" indent="0" shrinkToFit="false"/>
      <protection locked="true" hidden="false"/>
    </xf>
    <xf numFmtId="166" fontId="9" fillId="15" borderId="1" xfId="0" applyFont="true" applyBorder="true" applyAlignment="true" applyProtection="false">
      <alignment horizontal="center"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10" fillId="0" borderId="2" xfId="0" applyFont="true" applyBorder="true" applyAlignment="true" applyProtection="false">
      <alignment horizontal="center" vertical="bottom" textRotation="0" wrapText="false" indent="0" shrinkToFit="false"/>
      <protection locked="true" hidden="false"/>
    </xf>
    <xf numFmtId="164" fontId="0" fillId="0" borderId="2" xfId="0" applyFont="false" applyBorder="true" applyAlignment="true" applyProtection="false">
      <alignment horizontal="center" vertical="bottom" textRotation="0" wrapText="false" indent="0" shrinkToFit="false"/>
      <protection locked="true" hidden="false"/>
    </xf>
    <xf numFmtId="164" fontId="0" fillId="0" borderId="23" xfId="0" applyFont="false" applyBorder="true" applyAlignment="true" applyProtection="false">
      <alignment horizontal="center" vertical="bottom" textRotation="0" wrapText="false" indent="0" shrinkToFit="false"/>
      <protection locked="true" hidden="false"/>
    </xf>
    <xf numFmtId="164" fontId="13" fillId="0" borderId="2" xfId="0" applyFont="true" applyBorder="true" applyAlignment="false" applyProtection="false">
      <alignment horizontal="general" vertical="bottom" textRotation="0" wrapText="false" indent="0" shrinkToFit="false"/>
      <protection locked="true" hidden="false"/>
    </xf>
    <xf numFmtId="164" fontId="13" fillId="0" borderId="23" xfId="0" applyFont="true" applyBorder="true" applyAlignment="true" applyProtection="false">
      <alignment horizontal="center" vertical="bottom" textRotation="0" wrapText="false" indent="0" shrinkToFit="false"/>
      <protection locked="true" hidden="false"/>
    </xf>
    <xf numFmtId="164" fontId="10" fillId="0" borderId="15" xfId="0" applyFont="true" applyBorder="true" applyAlignment="false" applyProtection="false">
      <alignment horizontal="general" vertical="bottom" textRotation="0" wrapText="false" indent="0" shrinkToFit="false"/>
      <protection locked="true" hidden="false"/>
    </xf>
    <xf numFmtId="167" fontId="16" fillId="0" borderId="24" xfId="0" applyFont="true" applyBorder="true" applyAlignment="true" applyProtection="false">
      <alignment horizontal="center" vertical="center" textRotation="0" wrapText="true" indent="0" shrinkToFit="false"/>
      <protection locked="true" hidden="false"/>
    </xf>
    <xf numFmtId="164" fontId="10" fillId="0" borderId="25" xfId="0" applyFont="true" applyBorder="true" applyAlignment="false" applyProtection="false">
      <alignment horizontal="general" vertical="bottom" textRotation="0" wrapText="false" indent="0" shrinkToFit="false"/>
      <protection locked="true" hidden="false"/>
    </xf>
    <xf numFmtId="167" fontId="16" fillId="0" borderId="26" xfId="0" applyFont="true" applyBorder="true" applyAlignment="true" applyProtection="false">
      <alignment horizontal="left" vertical="bottom" textRotation="0" wrapText="false" indent="0" shrinkToFit="false"/>
      <protection locked="true" hidden="false"/>
    </xf>
    <xf numFmtId="164" fontId="10" fillId="0" borderId="27" xfId="0" applyFont="true" applyBorder="true" applyAlignment="true" applyProtection="false">
      <alignment horizontal="center" vertical="bottom" textRotation="0" wrapText="false" indent="0" shrinkToFit="false"/>
      <protection locked="true" hidden="false"/>
    </xf>
    <xf numFmtId="164" fontId="10" fillId="0" borderId="27" xfId="0" applyFont="true" applyBorder="true" applyAlignment="false" applyProtection="false">
      <alignment horizontal="general" vertical="bottom" textRotation="0" wrapText="false" indent="0" shrinkToFit="false"/>
      <protection locked="true" hidden="false"/>
    </xf>
    <xf numFmtId="164" fontId="0" fillId="0" borderId="27" xfId="0" applyFont="false" applyBorder="true" applyAlignment="false" applyProtection="false">
      <alignment horizontal="general" vertical="bottom" textRotation="0" wrapText="false" indent="0" shrinkToFit="false"/>
      <protection locked="true" hidden="false"/>
    </xf>
    <xf numFmtId="164" fontId="46" fillId="0" borderId="27" xfId="0" applyFont="true" applyBorder="true" applyAlignment="true" applyProtection="false">
      <alignment horizontal="right" vertical="bottom" textRotation="0" wrapText="false" indent="1" shrinkToFit="false"/>
      <protection locked="true" hidden="false"/>
    </xf>
    <xf numFmtId="167" fontId="9" fillId="0" borderId="27" xfId="0" applyFont="true" applyBorder="true" applyAlignment="true" applyProtection="false">
      <alignment horizontal="right" vertical="bottom" textRotation="0" wrapText="false" indent="1" shrinkToFit="false"/>
      <protection locked="true" hidden="false"/>
    </xf>
    <xf numFmtId="167" fontId="9" fillId="0" borderId="27" xfId="0" applyFont="true" applyBorder="true" applyAlignment="false" applyProtection="false">
      <alignment horizontal="general" vertical="bottom" textRotation="0" wrapText="false" indent="0" shrinkToFit="false"/>
      <protection locked="true" hidden="false"/>
    </xf>
    <xf numFmtId="164" fontId="0" fillId="0" borderId="28" xfId="0" applyFont="false" applyBorder="true" applyAlignment="false" applyProtection="false">
      <alignment horizontal="general" vertical="bottom" textRotation="0" wrapText="false" indent="0" shrinkToFit="false"/>
      <protection locked="true" hidden="false"/>
    </xf>
    <xf numFmtId="175" fontId="11" fillId="0" borderId="29" xfId="0" applyFont="true" applyBorder="true" applyAlignment="false" applyProtection="false">
      <alignment horizontal="general" vertical="bottom" textRotation="0" wrapText="false" indent="0" shrinkToFit="false"/>
      <protection locked="true" hidden="false"/>
    </xf>
    <xf numFmtId="176" fontId="11"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left" vertical="bottom" textRotation="0" wrapText="false" indent="0" shrinkToFit="false"/>
      <protection locked="true" hidden="false"/>
    </xf>
    <xf numFmtId="164" fontId="10" fillId="0" borderId="30"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center" vertical="bottom" textRotation="0" wrapText="false" indent="0" shrinkToFit="false"/>
      <protection locked="true" hidden="false"/>
    </xf>
    <xf numFmtId="164" fontId="0" fillId="0" borderId="31" xfId="0" applyFont="false" applyBorder="true" applyAlignment="false" applyProtection="false">
      <alignment horizontal="general" vertical="bottom" textRotation="0" wrapText="false" indent="0" shrinkToFit="false"/>
      <protection locked="true" hidden="false"/>
    </xf>
    <xf numFmtId="164" fontId="0" fillId="0" borderId="29" xfId="0" applyFont="false" applyBorder="true" applyAlignment="false" applyProtection="false">
      <alignment horizontal="general" vertical="bottom" textRotation="0" wrapText="false" indent="0" shrinkToFit="false"/>
      <protection locked="true" hidden="false"/>
    </xf>
    <xf numFmtId="164" fontId="0" fillId="0" borderId="30" xfId="0" applyFont="false" applyBorder="true" applyAlignment="false" applyProtection="false">
      <alignment horizontal="general" vertical="bottom" textRotation="0" wrapText="false" indent="0" shrinkToFit="false"/>
      <protection locked="true" hidden="false"/>
    </xf>
    <xf numFmtId="167" fontId="19" fillId="0" borderId="30" xfId="0" applyFont="true" applyBorder="true" applyAlignment="true" applyProtection="false">
      <alignment horizontal="center" vertical="bottom" textRotation="0" wrapText="false" indent="0" shrinkToFit="false"/>
      <protection locked="true" hidden="false"/>
    </xf>
    <xf numFmtId="167" fontId="49" fillId="0" borderId="0" xfId="0" applyFont="true" applyBorder="false" applyAlignment="true" applyProtection="false">
      <alignment horizontal="center" vertical="bottom" textRotation="0" wrapText="false" indent="0" shrinkToFit="false"/>
      <protection locked="true" hidden="false"/>
    </xf>
    <xf numFmtId="164" fontId="0" fillId="0" borderId="2" xfId="0" applyFont="true" applyBorder="true" applyAlignment="true" applyProtection="false">
      <alignment horizontal="center" vertical="center" textRotation="0" wrapText="false" indent="0" shrinkToFit="false"/>
      <protection locked="true" hidden="false"/>
    </xf>
    <xf numFmtId="164" fontId="0" fillId="0" borderId="2" xfId="0" applyFont="true" applyBorder="true" applyAlignment="true" applyProtection="false">
      <alignment horizontal="center" vertical="bottom" textRotation="0" wrapText="false" indent="0" shrinkToFit="false"/>
      <protection locked="true" hidden="false"/>
    </xf>
    <xf numFmtId="167" fontId="9" fillId="0" borderId="32" xfId="0" applyFont="true" applyBorder="true" applyAlignment="true" applyProtection="false">
      <alignment horizontal="center" vertical="bottom" textRotation="0" wrapText="false" indent="0" shrinkToFit="false"/>
      <protection locked="true" hidden="false"/>
    </xf>
    <xf numFmtId="167" fontId="10" fillId="0" borderId="0" xfId="0" applyFont="true" applyBorder="false" applyAlignment="true" applyProtection="false">
      <alignment horizontal="right" vertical="bottom" textRotation="0" wrapText="false" indent="0" shrinkToFit="false"/>
      <protection locked="true" hidden="false"/>
    </xf>
    <xf numFmtId="177" fontId="6" fillId="4" borderId="2" xfId="0" applyFont="true" applyBorder="true" applyAlignment="true" applyProtection="true">
      <alignment horizontal="center" vertical="bottom" textRotation="0" wrapText="false" indent="0" shrinkToFit="false"/>
      <protection locked="false" hidden="false"/>
    </xf>
    <xf numFmtId="169" fontId="9" fillId="0" borderId="0" xfId="0" applyFont="true" applyBorder="false" applyAlignment="true" applyProtection="false">
      <alignment horizontal="center" vertical="bottom" textRotation="0" wrapText="false" indent="0" shrinkToFit="false"/>
      <protection locked="true" hidden="false"/>
    </xf>
    <xf numFmtId="169" fontId="9" fillId="13" borderId="2" xfId="0" applyFont="true" applyBorder="true" applyAlignment="true" applyProtection="false">
      <alignment horizontal="center" vertical="bottom" textRotation="0" wrapText="false" indent="0" shrinkToFit="false"/>
      <protection locked="true" hidden="false"/>
    </xf>
    <xf numFmtId="164" fontId="9" fillId="0" borderId="33" xfId="0" applyFont="true" applyBorder="true" applyAlignment="true" applyProtection="false">
      <alignment horizontal="center" vertical="center" textRotation="0" wrapText="true" indent="0" shrinkToFit="false"/>
      <protection locked="true" hidden="false"/>
    </xf>
    <xf numFmtId="167" fontId="9" fillId="0" borderId="34" xfId="0" applyFont="true" applyBorder="true" applyAlignment="true" applyProtection="false">
      <alignment horizontal="center" vertical="center" textRotation="0" wrapText="true" indent="0" shrinkToFit="false"/>
      <protection locked="true" hidden="false"/>
    </xf>
    <xf numFmtId="167" fontId="9" fillId="0" borderId="35" xfId="0" applyFont="true" applyBorder="true" applyAlignment="true" applyProtection="false">
      <alignment horizontal="center" vertical="center" textRotation="0" wrapText="true" indent="0" shrinkToFit="false"/>
      <protection locked="true" hidden="false"/>
    </xf>
    <xf numFmtId="167" fontId="22" fillId="0" borderId="30" xfId="0" applyFont="true" applyBorder="true" applyAlignment="true" applyProtection="false">
      <alignment horizontal="left" vertical="bottom" textRotation="0" wrapText="false" indent="1"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8" fontId="49" fillId="0" borderId="0" xfId="0" applyFont="true" applyBorder="false" applyAlignment="true" applyProtection="false">
      <alignment horizontal="center" vertical="bottom" textRotation="0" wrapText="false" indent="0" shrinkToFit="false"/>
      <protection locked="true" hidden="false"/>
    </xf>
    <xf numFmtId="167" fontId="9" fillId="0" borderId="31" xfId="0" applyFont="true" applyBorder="true" applyAlignment="true" applyProtection="false">
      <alignment horizontal="center" vertical="bottom" textRotation="0" wrapText="false" indent="0" shrinkToFit="false"/>
      <protection locked="true" hidden="false"/>
    </xf>
    <xf numFmtId="164" fontId="6" fillId="4" borderId="2" xfId="23" applyFont="true" applyBorder="true" applyAlignment="true" applyProtection="true">
      <alignment horizontal="center" vertical="bottom" textRotation="0" wrapText="false" indent="0" shrinkToFit="false"/>
      <protection locked="false" hidden="false"/>
    </xf>
    <xf numFmtId="168" fontId="11" fillId="0" borderId="0" xfId="0" applyFont="true" applyBorder="false" applyAlignment="true" applyProtection="false">
      <alignment horizontal="center" vertical="bottom" textRotation="0" wrapText="false" indent="0" shrinkToFit="false"/>
      <protection locked="true" hidden="false"/>
    </xf>
    <xf numFmtId="164" fontId="0" fillId="0" borderId="30" xfId="0" applyFont="false" applyBorder="true" applyAlignment="true" applyProtection="false">
      <alignment horizontal="center" vertical="bottom" textRotation="0" wrapText="false" indent="0" shrinkToFit="false"/>
      <protection locked="true" hidden="false"/>
    </xf>
    <xf numFmtId="164" fontId="6" fillId="2" borderId="2" xfId="29" applyFont="true" applyBorder="true" applyAlignment="true" applyProtection="true">
      <alignment horizontal="center" vertical="bottom" textRotation="0" wrapText="false" indent="0" shrinkToFit="false"/>
      <protection locked="false" hidden="false"/>
    </xf>
    <xf numFmtId="166" fontId="0" fillId="16" borderId="2" xfId="0" applyFont="false" applyBorder="true" applyAlignment="true" applyProtection="false">
      <alignment horizontal="center" vertical="bottom" textRotation="0" wrapText="false" indent="0" shrinkToFit="false"/>
      <protection locked="true" hidden="false"/>
    </xf>
    <xf numFmtId="166" fontId="17" fillId="16" borderId="36" xfId="0" applyFont="true" applyBorder="true" applyAlignment="true" applyProtection="false">
      <alignment horizontal="center" vertical="bottom" textRotation="0" wrapText="false" indent="0" shrinkToFit="false"/>
      <protection locked="true" hidden="false"/>
    </xf>
    <xf numFmtId="164" fontId="6" fillId="17" borderId="2" xfId="0" applyFont="true" applyBorder="true" applyAlignment="true" applyProtection="true">
      <alignment horizontal="center" vertical="bottom" textRotation="0" wrapText="false" indent="0" shrinkToFit="false"/>
      <protection locked="true" hidden="false"/>
    </xf>
    <xf numFmtId="167" fontId="13" fillId="0" borderId="30" xfId="0" applyFont="true" applyBorder="true" applyAlignment="true" applyProtection="false">
      <alignment horizontal="center" vertical="bottom" textRotation="0" wrapText="false" indent="0" shrinkToFit="false"/>
      <protection locked="true" hidden="false"/>
    </xf>
    <xf numFmtId="164" fontId="17" fillId="0" borderId="2" xfId="0" applyFont="true" applyBorder="true" applyAlignment="true" applyProtection="false">
      <alignment horizontal="center" vertical="bottom" textRotation="0" wrapText="false" indent="0" shrinkToFit="false"/>
      <protection locked="true" hidden="false"/>
    </xf>
    <xf numFmtId="164" fontId="0" fillId="0" borderId="31" xfId="0" applyFont="false" applyBorder="true" applyAlignment="true" applyProtection="false">
      <alignment horizontal="center" vertical="bottom" textRotation="0" wrapText="false" indent="0" shrinkToFit="false"/>
      <protection locked="true" hidden="false"/>
    </xf>
    <xf numFmtId="164" fontId="13" fillId="0" borderId="0" xfId="0" applyFont="true" applyBorder="false" applyAlignment="true" applyProtection="false">
      <alignment horizontal="center" vertical="bottom" textRotation="0" wrapText="false" indent="0" shrinkToFit="false"/>
      <protection locked="true" hidden="false"/>
    </xf>
    <xf numFmtId="167" fontId="50" fillId="0" borderId="0" xfId="0" applyFont="true" applyBorder="false" applyAlignment="false" applyProtection="false">
      <alignment horizontal="general" vertical="bottom" textRotation="0" wrapText="false" indent="0" shrinkToFit="false"/>
      <protection locked="true" hidden="false"/>
    </xf>
    <xf numFmtId="166" fontId="50" fillId="0" borderId="0" xfId="0" applyFont="true" applyBorder="false" applyAlignment="true" applyProtection="false">
      <alignment horizontal="center" vertical="bottom" textRotation="0" wrapText="false" indent="0" shrinkToFit="false"/>
      <protection locked="true" hidden="false"/>
    </xf>
    <xf numFmtId="166" fontId="51" fillId="0" borderId="31" xfId="0" applyFont="true" applyBorder="true" applyAlignment="true" applyProtection="false">
      <alignment horizontal="center" vertical="bottom" textRotation="0" wrapText="false" indent="0" shrinkToFit="false"/>
      <protection locked="true" hidden="false"/>
    </xf>
    <xf numFmtId="167" fontId="10" fillId="0" borderId="37" xfId="0" applyFont="true" applyBorder="true" applyAlignment="true" applyProtection="false">
      <alignment horizontal="right" vertical="bottom" textRotation="0" wrapText="false" indent="0" shrinkToFit="false"/>
      <protection locked="true" hidden="false"/>
    </xf>
    <xf numFmtId="167" fontId="10" fillId="0" borderId="29" xfId="0" applyFont="true" applyBorder="true" applyAlignment="true" applyProtection="false">
      <alignment horizontal="center" vertical="bottom" textRotation="0" wrapText="false" indent="0" shrinkToFit="false"/>
      <protection locked="true" hidden="false"/>
    </xf>
    <xf numFmtId="167" fontId="10" fillId="0" borderId="2" xfId="0" applyFont="true" applyBorder="true" applyAlignment="true" applyProtection="false">
      <alignment horizontal="center" vertical="bottom" textRotation="0" wrapText="false" indent="0" shrinkToFit="false"/>
      <protection locked="true" hidden="false"/>
    </xf>
    <xf numFmtId="166" fontId="9" fillId="0" borderId="2" xfId="0" applyFont="true" applyBorder="true" applyAlignment="true" applyProtection="false">
      <alignment horizontal="center" vertical="bottom" textRotation="0" wrapText="false" indent="0" shrinkToFit="false"/>
      <protection locked="true" hidden="false"/>
    </xf>
    <xf numFmtId="166" fontId="9" fillId="18" borderId="2" xfId="0" applyFont="true" applyBorder="true" applyAlignment="true" applyProtection="false">
      <alignment horizontal="center" vertical="bottom" textRotation="0" wrapText="false" indent="0" shrinkToFit="false"/>
      <protection locked="true" hidden="false"/>
    </xf>
    <xf numFmtId="164" fontId="50" fillId="0" borderId="31" xfId="0" applyFont="true" applyBorder="true" applyAlignment="false" applyProtection="false">
      <alignment horizontal="general" vertical="bottom" textRotation="0" wrapText="false" indent="0" shrinkToFit="false"/>
      <protection locked="true" hidden="false"/>
    </xf>
    <xf numFmtId="167" fontId="0" fillId="0" borderId="2" xfId="0" applyFont="false" applyBorder="true" applyAlignment="true" applyProtection="false">
      <alignment horizontal="center" vertical="bottom" textRotation="0" wrapText="false" indent="0" shrinkToFit="false"/>
      <protection locked="true" hidden="false"/>
    </xf>
    <xf numFmtId="166" fontId="9" fillId="5" borderId="2" xfId="0" applyFont="true" applyBorder="true" applyAlignment="true" applyProtection="false">
      <alignment horizontal="center" vertical="bottom" textRotation="0" wrapText="false" indent="0" shrinkToFit="false"/>
      <protection locked="true" hidden="false"/>
    </xf>
    <xf numFmtId="167" fontId="9" fillId="0" borderId="38" xfId="0" applyFont="true" applyBorder="true" applyAlignment="true" applyProtection="false">
      <alignment horizontal="center" vertical="bottom" textRotation="0" wrapText="false" indent="0" shrinkToFit="false"/>
      <protection locked="true" hidden="false"/>
    </xf>
    <xf numFmtId="166" fontId="0" fillId="16" borderId="36" xfId="0" applyFont="false" applyBorder="true" applyAlignment="true" applyProtection="false">
      <alignment horizontal="center" vertical="bottom" textRotation="0" wrapText="false" indent="0" shrinkToFit="false"/>
      <protection locked="true" hidden="false"/>
    </xf>
    <xf numFmtId="167" fontId="10" fillId="0" borderId="30" xfId="0" applyFont="true" applyBorder="true" applyAlignment="true" applyProtection="false">
      <alignment horizontal="right" vertical="bottom" textRotation="0" wrapText="false" indent="0" shrinkToFit="false"/>
      <protection locked="true" hidden="false"/>
    </xf>
    <xf numFmtId="178" fontId="9" fillId="13" borderId="2" xfId="0" applyFont="true" applyBorder="true" applyAlignment="true" applyProtection="false">
      <alignment horizontal="center" vertical="bottom" textRotation="0" wrapText="false" indent="0" shrinkToFit="false"/>
      <protection locked="true" hidden="false"/>
    </xf>
    <xf numFmtId="169" fontId="10" fillId="0" borderId="2" xfId="0" applyFont="true" applyBorder="true" applyAlignment="true" applyProtection="false">
      <alignment horizontal="center" vertical="bottom" textRotation="0" wrapText="false" indent="0" shrinkToFit="false"/>
      <protection locked="true" hidden="false"/>
    </xf>
    <xf numFmtId="169" fontId="10" fillId="0" borderId="15" xfId="0" applyFont="true" applyBorder="true" applyAlignment="true" applyProtection="false">
      <alignment horizontal="center" vertical="bottom" textRotation="0" wrapText="false" indent="0" shrinkToFit="false"/>
      <protection locked="true" hidden="false"/>
    </xf>
    <xf numFmtId="169" fontId="9" fillId="0" borderId="39" xfId="0" applyFont="true" applyBorder="true" applyAlignment="true" applyProtection="false">
      <alignment horizontal="center" vertical="bottom" textRotation="0" wrapText="false" indent="0" shrinkToFit="false"/>
      <protection locked="true" hidden="false"/>
    </xf>
    <xf numFmtId="164" fontId="0" fillId="0" borderId="40" xfId="0" applyFont="false" applyBorder="true" applyAlignment="false" applyProtection="false">
      <alignment horizontal="general" vertical="bottom" textRotation="0" wrapText="false" indent="0" shrinkToFit="false"/>
      <protection locked="true" hidden="false"/>
    </xf>
    <xf numFmtId="164" fontId="10" fillId="0" borderId="41" xfId="0" applyFont="true" applyBorder="true" applyAlignment="true" applyProtection="false">
      <alignment horizontal="center" vertical="bottom" textRotation="0" wrapText="false" indent="0" shrinkToFit="false"/>
      <protection locked="true" hidden="false"/>
    </xf>
    <xf numFmtId="164" fontId="10" fillId="0" borderId="41" xfId="0" applyFont="true" applyBorder="true" applyAlignment="false" applyProtection="false">
      <alignment horizontal="general" vertical="bottom" textRotation="0" wrapText="false" indent="0" shrinkToFit="false"/>
      <protection locked="true" hidden="false"/>
    </xf>
    <xf numFmtId="164" fontId="0" fillId="0" borderId="41" xfId="0" applyFont="false" applyBorder="true" applyAlignment="false" applyProtection="false">
      <alignment horizontal="general" vertical="bottom" textRotation="0" wrapText="false" indent="0" shrinkToFit="false"/>
      <protection locked="true" hidden="false"/>
    </xf>
    <xf numFmtId="164" fontId="0" fillId="0" borderId="42" xfId="0" applyFont="false" applyBorder="true" applyAlignment="false" applyProtection="false">
      <alignment horizontal="general" vertical="bottom" textRotation="0" wrapText="false" indent="0" shrinkToFit="false"/>
      <protection locked="true" hidden="false"/>
    </xf>
    <xf numFmtId="164" fontId="6" fillId="0" borderId="30" xfId="0" applyFont="true" applyBorder="true" applyAlignment="true" applyProtection="false">
      <alignment horizontal="general" vertical="top" textRotation="0" wrapText="true" indent="0" shrinkToFit="false"/>
      <protection locked="true" hidden="false"/>
    </xf>
    <xf numFmtId="164" fontId="10" fillId="0" borderId="0" xfId="0" applyFont="true" applyBorder="false" applyAlignment="true" applyProtection="false">
      <alignment horizontal="general" vertical="top" textRotation="0" wrapText="true" indent="0" shrinkToFit="false"/>
      <protection locked="true" hidden="false"/>
    </xf>
    <xf numFmtId="167" fontId="19" fillId="0" borderId="30"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9" fontId="10" fillId="0" borderId="31" xfId="0" applyFont="true" applyBorder="true" applyAlignment="true" applyProtection="false">
      <alignment horizontal="center" vertical="bottom" textRotation="0" wrapText="false" indent="0" shrinkToFit="false"/>
      <protection locked="true" hidden="false"/>
    </xf>
    <xf numFmtId="166" fontId="0" fillId="0" borderId="31" xfId="0" applyFont="false" applyBorder="true" applyAlignment="true" applyProtection="false">
      <alignment horizontal="center" vertical="bottom" textRotation="0" wrapText="false" indent="0" shrinkToFit="false"/>
      <protection locked="true" hidden="false"/>
    </xf>
    <xf numFmtId="169" fontId="9" fillId="0" borderId="31" xfId="0" applyFont="true" applyBorder="true" applyAlignment="true" applyProtection="false">
      <alignment horizontal="center" vertical="bottom" textRotation="0" wrapText="false" indent="0" shrinkToFit="false"/>
      <protection locked="true" hidden="false"/>
    </xf>
    <xf numFmtId="169" fontId="9" fillId="0" borderId="36" xfId="0" applyFont="true" applyBorder="true" applyAlignment="true" applyProtection="false">
      <alignment horizontal="center" vertical="bottom" textRotation="0" wrapText="false" indent="0" shrinkToFit="false"/>
      <protection locked="true" hidden="false"/>
    </xf>
    <xf numFmtId="164" fontId="0" fillId="0" borderId="43" xfId="0" applyFont="false" applyBorder="true" applyAlignment="false" applyProtection="false">
      <alignment horizontal="general" vertical="bottom" textRotation="0" wrapText="false" indent="0" shrinkToFit="false"/>
      <protection locked="true" hidden="false"/>
    </xf>
    <xf numFmtId="164" fontId="0" fillId="0" borderId="44" xfId="0" applyFont="false" applyBorder="true" applyAlignment="false" applyProtection="false">
      <alignment horizontal="general" vertical="bottom" textRotation="0" wrapText="false" indent="0" shrinkToFit="false"/>
      <protection locked="true" hidden="false"/>
    </xf>
    <xf numFmtId="164" fontId="0" fillId="0" borderId="45" xfId="0" applyFont="false" applyBorder="true" applyAlignment="false" applyProtection="false">
      <alignment horizontal="general" vertical="bottom" textRotation="0" wrapText="false" indent="0" shrinkToFit="false"/>
      <protection locked="true" hidden="false"/>
    </xf>
    <xf numFmtId="164" fontId="10" fillId="0" borderId="43" xfId="0" applyFont="true" applyBorder="true" applyAlignment="false" applyProtection="false">
      <alignment horizontal="general" vertical="bottom" textRotation="0" wrapText="false" indent="0" shrinkToFit="false"/>
      <protection locked="true" hidden="false"/>
    </xf>
    <xf numFmtId="164" fontId="10" fillId="0" borderId="44" xfId="0" applyFont="true" applyBorder="true" applyAlignment="true" applyProtection="false">
      <alignment horizontal="center" vertical="bottom" textRotation="0" wrapText="false" indent="0" shrinkToFit="false"/>
      <protection locked="true" hidden="false"/>
    </xf>
    <xf numFmtId="164" fontId="10" fillId="0" borderId="44" xfId="0" applyFont="true" applyBorder="true" applyAlignment="false" applyProtection="false">
      <alignment horizontal="general" vertical="bottom" textRotation="0" wrapText="false" indent="0" shrinkToFit="false"/>
      <protection locked="true" hidden="false"/>
    </xf>
    <xf numFmtId="164" fontId="0" fillId="0" borderId="46" xfId="0" applyFont="false" applyBorder="true" applyAlignment="false" applyProtection="false">
      <alignment horizontal="general" vertical="bottom" textRotation="0" wrapText="false" indent="0" shrinkToFit="false"/>
      <protection locked="true" hidden="false"/>
    </xf>
    <xf numFmtId="164" fontId="10" fillId="0" borderId="46" xfId="0" applyFont="true" applyBorder="true" applyAlignment="false" applyProtection="false">
      <alignment horizontal="general" vertical="bottom" textRotation="0" wrapText="false" indent="0" shrinkToFit="false"/>
      <protection locked="true" hidden="false"/>
    </xf>
    <xf numFmtId="164" fontId="10" fillId="0" borderId="46" xfId="0" applyFont="true" applyBorder="true" applyAlignment="true" applyProtection="false">
      <alignment horizontal="center" vertical="bottom" textRotation="0" wrapText="false" indent="0" shrinkToFit="false"/>
      <protection locked="true" hidden="false"/>
    </xf>
    <xf numFmtId="167" fontId="8" fillId="0" borderId="1" xfId="0" applyFont="true" applyBorder="true" applyAlignment="true" applyProtection="false">
      <alignment horizontal="left" vertical="bottom" textRotation="0" wrapText="false" indent="0" shrinkToFit="false"/>
      <protection locked="true" hidden="false"/>
    </xf>
    <xf numFmtId="164" fontId="12" fillId="0" borderId="1"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false" hidden="false"/>
    </xf>
    <xf numFmtId="164" fontId="12" fillId="0" borderId="1" xfId="0" applyFont="true" applyBorder="true" applyAlignment="true" applyProtection="false">
      <alignment horizontal="left" vertical="bottom" textRotation="0" wrapText="false" indent="1" shrinkToFit="false"/>
      <protection locked="true" hidden="false"/>
    </xf>
    <xf numFmtId="170" fontId="12" fillId="0" borderId="1" xfId="0" applyFont="true" applyBorder="true" applyAlignment="true" applyProtection="false">
      <alignment horizontal="center" vertical="bottom" textRotation="0" wrapText="false" indent="0" shrinkToFit="false"/>
      <protection locked="true" hidden="false"/>
    </xf>
    <xf numFmtId="164" fontId="5" fillId="2" borderId="1" xfId="30" applyFont="true" applyBorder="true" applyAlignment="true" applyProtection="true">
      <alignment horizontal="center" vertical="bottom" textRotation="0" wrapText="false" indent="0" shrinkToFit="false"/>
      <protection locked="false" hidden="false"/>
    </xf>
    <xf numFmtId="179" fontId="8" fillId="0" borderId="1" xfId="0" applyFont="true" applyBorder="true" applyAlignment="true" applyProtection="false">
      <alignment horizontal="left" vertical="bottom" textRotation="0" wrapText="false" indent="0" shrinkToFit="false"/>
      <protection locked="true" hidden="false"/>
    </xf>
    <xf numFmtId="166" fontId="8" fillId="0" borderId="1" xfId="0" applyFont="true" applyBorder="true" applyAlignment="true" applyProtection="false">
      <alignment horizontal="center" vertical="bottom" textRotation="0" wrapText="false" indent="0" shrinkToFit="false"/>
      <protection locked="true" hidden="false"/>
    </xf>
    <xf numFmtId="166" fontId="12" fillId="0" borderId="0" xfId="0" applyFont="true" applyBorder="false" applyAlignment="true" applyProtection="false">
      <alignment horizontal="center" vertical="bottom" textRotation="0" wrapText="false" indent="0" shrinkToFit="false"/>
      <protection locked="true" hidden="false"/>
    </xf>
    <xf numFmtId="167" fontId="8" fillId="0" borderId="1" xfId="0" applyFont="true" applyBorder="true" applyAlignment="true" applyProtection="false">
      <alignment horizontal="center" vertical="bottom" textRotation="0" wrapText="false" indent="0" shrinkToFit="false"/>
      <protection locked="true" hidden="false"/>
    </xf>
    <xf numFmtId="167" fontId="8" fillId="0" borderId="1" xfId="0" applyFont="true" applyBorder="true" applyAlignment="true" applyProtection="false">
      <alignment horizontal="center" vertical="center" textRotation="0" wrapText="true" indent="0" shrinkToFit="false"/>
      <protection locked="true" hidden="false"/>
    </xf>
    <xf numFmtId="167" fontId="8" fillId="0" borderId="20" xfId="0" applyFont="true" applyBorder="true" applyAlignment="true" applyProtection="false">
      <alignment horizontal="center" vertical="bottom" textRotation="0" wrapText="false" indent="0" shrinkToFit="false"/>
      <protection locked="true" hidden="false"/>
    </xf>
    <xf numFmtId="166" fontId="12" fillId="0" borderId="1" xfId="0" applyFont="true" applyBorder="true" applyAlignment="true" applyProtection="false">
      <alignment horizontal="center" vertical="bottom" textRotation="0" wrapText="false" indent="0" shrinkToFit="false"/>
      <protection locked="true" hidden="false"/>
    </xf>
    <xf numFmtId="169" fontId="12" fillId="16" borderId="1" xfId="0" applyFont="true" applyBorder="true" applyAlignment="true" applyProtection="false">
      <alignment horizontal="center" vertical="bottom" textRotation="0" wrapText="false" indent="0" shrinkToFit="false"/>
      <protection locked="true" hidden="false"/>
    </xf>
    <xf numFmtId="169" fontId="12" fillId="0" borderId="1" xfId="0" applyFont="true" applyBorder="true" applyAlignment="true" applyProtection="false">
      <alignment horizontal="center" vertical="bottom" textRotation="0" wrapText="false" indent="0" shrinkToFit="false"/>
      <protection locked="true" hidden="false"/>
    </xf>
    <xf numFmtId="170" fontId="5" fillId="4" borderId="1" xfId="0" applyFont="true" applyBorder="true" applyAlignment="true" applyProtection="true">
      <alignment horizontal="center" vertical="bottom" textRotation="0" wrapText="false" indent="0" shrinkToFit="false"/>
      <protection locked="false" hidden="false"/>
    </xf>
    <xf numFmtId="167" fontId="12" fillId="0" borderId="1" xfId="0" applyFont="true" applyBorder="true" applyAlignment="true" applyProtection="false">
      <alignment horizontal="center" vertical="bottom" textRotation="0" wrapText="false" indent="0" shrinkToFit="false"/>
      <protection locked="true" hidden="false"/>
    </xf>
    <xf numFmtId="167" fontId="8" fillId="19" borderId="1" xfId="0" applyFont="true" applyBorder="true" applyAlignment="false" applyProtection="false">
      <alignment horizontal="general" vertical="bottom" textRotation="0" wrapText="false" indent="0" shrinkToFit="false"/>
      <protection locked="true" hidden="false"/>
    </xf>
    <xf numFmtId="166" fontId="8" fillId="19" borderId="1" xfId="0" applyFont="true" applyBorder="true" applyAlignment="true" applyProtection="false">
      <alignment horizontal="center" vertical="bottom" textRotation="0" wrapText="false" indent="0" shrinkToFit="false"/>
      <protection locked="true" hidden="false"/>
    </xf>
    <xf numFmtId="169" fontId="12" fillId="0" borderId="0" xfId="0" applyFont="true" applyBorder="false" applyAlignment="true" applyProtection="false">
      <alignment horizontal="center" vertical="bottom" textRotation="0" wrapText="false" indent="0" shrinkToFit="false"/>
      <protection locked="true" hidden="false"/>
    </xf>
    <xf numFmtId="164" fontId="53" fillId="0" borderId="0" xfId="0" applyFont="true" applyBorder="false" applyAlignment="true" applyProtection="false">
      <alignment horizontal="center" vertical="bottom" textRotation="0" wrapText="false" indent="0" shrinkToFit="false"/>
      <protection locked="true" hidden="false"/>
    </xf>
    <xf numFmtId="166" fontId="8" fillId="0" borderId="10" xfId="0" applyFont="true" applyBorder="true" applyAlignment="true" applyProtection="false">
      <alignment horizontal="center" vertical="bottom" textRotation="0" wrapText="false" indent="0" shrinkToFit="false"/>
      <protection locked="true" hidden="false"/>
    </xf>
    <xf numFmtId="167" fontId="8" fillId="0" borderId="1" xfId="0" applyFont="true" applyBorder="true" applyAlignment="false" applyProtection="false">
      <alignment horizontal="general" vertical="bottom" textRotation="0" wrapText="false" indent="0" shrinkToFit="false"/>
      <protection locked="true" hidden="false"/>
    </xf>
    <xf numFmtId="164" fontId="54" fillId="0" borderId="1" xfId="0" applyFont="true" applyBorder="true" applyAlignment="true" applyProtection="false">
      <alignment horizontal="center" vertical="center"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7" fontId="12" fillId="0" borderId="1" xfId="0" applyFont="true" applyBorder="true" applyAlignment="true" applyProtection="false">
      <alignment horizontal="left" vertical="bottom" textRotation="0" wrapText="false" indent="0" shrinkToFit="false"/>
      <protection locked="true" hidden="false"/>
    </xf>
    <xf numFmtId="170" fontId="8" fillId="0" borderId="1" xfId="0" applyFont="true" applyBorder="true" applyAlignment="true" applyProtection="false">
      <alignment horizontal="center" vertical="bottom" textRotation="0" wrapText="false" indent="0" shrinkToFit="false"/>
      <protection locked="true" hidden="false"/>
    </xf>
    <xf numFmtId="166" fontId="8" fillId="0" borderId="20" xfId="0" applyFont="true" applyBorder="true" applyAlignment="true" applyProtection="false">
      <alignment horizontal="center" vertical="bottom" textRotation="0" wrapText="false" indent="0" shrinkToFit="false"/>
      <protection locked="true" hidden="false"/>
    </xf>
    <xf numFmtId="166" fontId="5" fillId="2" borderId="1" xfId="0" applyFont="true" applyBorder="true" applyAlignment="true" applyProtection="true">
      <alignment horizontal="center" vertical="bottom" textRotation="0" wrapText="false" indent="0" shrinkToFit="false"/>
      <protection locked="false" hidden="false"/>
    </xf>
    <xf numFmtId="166" fontId="5" fillId="2" borderId="1" xfId="26" applyFont="true" applyBorder="true" applyAlignment="true" applyProtection="true">
      <alignment horizontal="center" vertical="bottom" textRotation="0" wrapText="false" indent="0" shrinkToFit="false"/>
      <protection locked="false" hidden="false"/>
    </xf>
    <xf numFmtId="170" fontId="8" fillId="19" borderId="1" xfId="0" applyFont="true" applyBorder="true" applyAlignment="true" applyProtection="false">
      <alignment horizontal="center" vertical="bottom" textRotation="0" wrapText="false" indent="0" shrinkToFit="false"/>
      <protection locked="true" hidden="false"/>
    </xf>
    <xf numFmtId="170" fontId="55" fillId="0" borderId="0" xfId="0" applyFont="true" applyBorder="false" applyAlignment="true" applyProtection="false">
      <alignment horizontal="center" vertical="bottom" textRotation="0" wrapText="false" indent="0" shrinkToFit="false"/>
      <protection locked="true" hidden="false"/>
    </xf>
    <xf numFmtId="170" fontId="54" fillId="16" borderId="1" xfId="0" applyFont="true" applyBorder="true" applyAlignment="true" applyProtection="false">
      <alignment horizontal="center" vertical="bottom" textRotation="0" wrapText="false" indent="0" shrinkToFit="false"/>
      <protection locked="true" hidden="false"/>
    </xf>
    <xf numFmtId="164" fontId="5" fillId="2" borderId="1" xfId="24" applyFont="true" applyBorder="true" applyAlignment="true" applyProtection="true">
      <alignment horizontal="center" vertical="bottom" textRotation="0" wrapText="false" indent="0" shrinkToFit="false"/>
      <protection locked="false" hidden="false"/>
    </xf>
    <xf numFmtId="180" fontId="54" fillId="5" borderId="1" xfId="0" applyFont="true" applyBorder="true" applyAlignment="true" applyProtection="false">
      <alignment horizontal="center" vertical="bottom" textRotation="0" wrapText="false" indent="0" shrinkToFit="false"/>
      <protection locked="true" hidden="false"/>
    </xf>
    <xf numFmtId="167" fontId="56" fillId="0" borderId="0" xfId="0" applyFont="true" applyBorder="false" applyAlignment="true" applyProtection="false">
      <alignment horizontal="center" vertical="bottom" textRotation="0" wrapText="false" indent="0" shrinkToFit="false"/>
      <protection locked="true" hidden="false"/>
    </xf>
    <xf numFmtId="166" fontId="54" fillId="16" borderId="1" xfId="0" applyFont="true" applyBorder="true" applyAlignment="true" applyProtection="false">
      <alignment horizontal="center" vertical="bottom" textRotation="0" wrapText="false" indent="0" shrinkToFit="false"/>
      <protection locked="true" hidden="false"/>
    </xf>
    <xf numFmtId="169" fontId="55" fillId="0" borderId="0" xfId="0" applyFont="true" applyBorder="false" applyAlignment="true" applyProtection="false">
      <alignment horizontal="center" vertical="bottom" textRotation="0" wrapText="false" indent="0" shrinkToFit="false"/>
      <protection locked="true" hidden="false"/>
    </xf>
    <xf numFmtId="169" fontId="8" fillId="0" borderId="1" xfId="0" applyFont="true" applyBorder="true" applyAlignment="true" applyProtection="false">
      <alignment horizontal="center" vertical="bottom" textRotation="0" wrapText="false" indent="0" shrinkToFit="false"/>
      <protection locked="true" hidden="false"/>
    </xf>
  </cellXfs>
  <cellStyles count="17">
    <cellStyle name="Normal" xfId="0" builtinId="0"/>
    <cellStyle name="Comma" xfId="15" builtinId="3"/>
    <cellStyle name="Comma [0]" xfId="16" builtinId="6"/>
    <cellStyle name="Currency" xfId="17" builtinId="4"/>
    <cellStyle name="Currency [0]" xfId="18" builtinId="7"/>
    <cellStyle name="Percent" xfId="19" builtinId="5"/>
    <cellStyle name="Date" xfId="20"/>
    <cellStyle name="DD 1" xfId="21"/>
    <cellStyle name="DD 2" xfId="22"/>
    <cellStyle name="DD 3" xfId="23"/>
    <cellStyle name="DE 0DP" xfId="24"/>
    <cellStyle name="DE 1" xfId="25"/>
    <cellStyle name="DE 1DP" xfId="26"/>
    <cellStyle name="DE 2" xfId="27"/>
    <cellStyle name="DE 3" xfId="28"/>
    <cellStyle name="DE 4" xfId="29"/>
    <cellStyle name="DE 4DP" xfId="30"/>
  </cellStyles>
  <dxfs count="12">
    <dxf>
      <fill>
        <patternFill>
          <bgColor rgb="FFFFFF00"/>
        </patternFill>
      </fill>
    </dxf>
    <dxf>
      <fill>
        <patternFill>
          <bgColor rgb="FFFFFF00"/>
        </patternFill>
      </fill>
    </dxf>
    <dxf>
      <fill>
        <patternFill>
          <bgColor rgb="FFFFFF00"/>
        </patternFill>
      </fill>
    </dxf>
    <dxf>
      <font>
        <color rgb="FFFFFFFF"/>
      </font>
    </dxf>
    <dxf>
      <font>
        <color rgb="FF0000FF"/>
      </font>
    </dxf>
    <dxf>
      <font>
        <color rgb="FFFFFFFF"/>
      </font>
      <fill>
        <patternFill>
          <bgColor rgb="FFFFFFFF"/>
        </patternFill>
      </fill>
    </dxf>
    <dxf>
      <font>
        <color rgb="FFFFFFFF"/>
      </font>
      <fill>
        <patternFill>
          <bgColor rgb="FFFFFFFF"/>
        </patternFill>
      </fill>
    </dxf>
    <dxf>
      <fill>
        <patternFill>
          <bgColor rgb="FFFFFF00"/>
        </patternFill>
      </fill>
    </dxf>
    <dxf>
      <fill>
        <patternFill>
          <bgColor rgb="FFFFFF00"/>
        </patternFill>
      </fill>
    </dxf>
    <dxf>
      <fill>
        <patternFill>
          <bgColor rgb="FFFFFF99"/>
        </patternFill>
      </fill>
    </dxf>
    <dxf>
      <font>
        <color rgb="FF0000FF"/>
      </font>
    </dxf>
    <dxf>
      <fill>
        <patternFill>
          <bgColor rgb="FFFFFF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D99694"/>
      <rgbColor rgb="FF0066CC"/>
      <rgbColor rgb="FFD7E4BD"/>
      <rgbColor rgb="FF000080"/>
      <rgbColor rgb="FFFF00FF"/>
      <rgbColor rgb="FFFFFF00"/>
      <rgbColor rgb="FF00FFFF"/>
      <rgbColor rgb="FF800080"/>
      <rgbColor rgb="FF800000"/>
      <rgbColor rgb="FF008080"/>
      <rgbColor rgb="FF0000FF"/>
      <rgbColor rgb="FF00CCFF"/>
      <rgbColor rgb="FFCDFFCD"/>
      <rgbColor rgb="FFCCFFCC"/>
      <rgbColor rgb="FFFFFF99"/>
      <rgbColor rgb="FF93CDDD"/>
      <rgbColor rgb="FFFAC090"/>
      <rgbColor rgb="FFCC99FF"/>
      <rgbColor rgb="FFFFCC99"/>
      <rgbColor rgb="FF3366FF"/>
      <rgbColor rgb="FF4BACC6"/>
      <rgbColor rgb="FF92D050"/>
      <rgbColor rgb="FFFFCC00"/>
      <rgbColor rgb="FFFF9900"/>
      <rgbColor rgb="FFFF6600"/>
      <rgbColor rgb="FF666699"/>
      <rgbColor rgb="FF96969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externalLink" Target="externalLinks/externalLink1.xml"/><Relationship Id="rId10"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300" strike="noStrike" u="none">
                <a:uFillTx/>
                <a:latin typeface="Nimbus Sans"/>
              </a:defRPr>
            </a:pPr>
            <a:r>
              <a:rPr b="1" sz="1400" strike="noStrike" u="none">
                <a:solidFill>
                  <a:srgbClr val="000000"/>
                </a:solidFill>
                <a:uFillTx/>
                <a:latin typeface="Arial"/>
                <a:ea typeface="Arial"/>
              </a:rPr>
              <a:t>HGE - Лугоканское (ЛТП LU23-029 (CU-AU))</a:t>
            </a:r>
          </a:p>
        </c:rich>
      </c:tx>
      <c:layout>
        <c:manualLayout>
          <c:xMode val="edge"/>
          <c:yMode val="edge"/>
          <c:x val="0.27852998065764"/>
          <c:y val="0.045260663507109"/>
        </c:manualLayout>
      </c:layout>
      <c:overlay val="0"/>
      <c:spPr>
        <a:noFill/>
        <a:ln w="25560">
          <a:noFill/>
        </a:ln>
      </c:spPr>
    </c:title>
    <c:autoTitleDeleted val="0"/>
    <c:plotArea>
      <c:layout>
        <c:manualLayout>
          <c:layoutTarget val="inner"/>
          <c:xMode val="edge"/>
          <c:yMode val="edge"/>
          <c:x val="0.0620502901353965"/>
          <c:y val="0.183056872037915"/>
          <c:w val="0.915164410058027"/>
          <c:h val="0.694845971563981"/>
        </c:manualLayout>
      </c:layout>
      <c:scatterChart>
        <c:scatterStyle val="lineMarker"/>
        <c:varyColors val="0"/>
        <c:ser>
          <c:idx val="0"/>
          <c:order val="0"/>
          <c:spPr>
            <a:solidFill>
              <a:srgbClr val="ffffff"/>
            </a:solidFill>
            <a:ln w="38160">
              <a:solidFill>
                <a:srgbClr val="ffffff"/>
              </a:solidFill>
              <a:round/>
            </a:ln>
          </c:spPr>
          <c:marker>
            <c:symbol val="diamond"/>
            <c:size val="8"/>
            <c:spPr>
              <a:solidFill>
                <a:srgbClr val="ffffff"/>
              </a:solidFill>
            </c:spPr>
          </c:marker>
          <c:dLbls>
            <c:txPr>
              <a:bodyPr wrap="square"/>
              <a:lstStyle/>
              <a:p>
                <a:pPr>
                  <a:defRPr b="0" sz="800" strike="noStrike" u="none">
                    <a:solidFill>
                      <a:srgbClr val="000000"/>
                    </a:solidFill>
                    <a:uFillTx/>
                    <a:latin typeface="Arial"/>
                    <a:ea typeface="Arial"/>
                  </a:defRPr>
                </a:pPr>
              </a:p>
            </c:txPr>
            <c:dLblPos val="r"/>
            <c:showLegendKey val="0"/>
            <c:showVal val="0"/>
            <c:showCatName val="0"/>
            <c:showSerName val="0"/>
            <c:showPercent val="0"/>
            <c:separator>; </c:separator>
            <c:showLeaderLines val="1"/>
            <c:leaderLines>
              <c:spPr>
                <a:ln w="38160">
                  <a:solidFill>
                    <a:srgbClr val="000000"/>
                  </a:solidFill>
                </a:ln>
              </c:spPr>
            </c:leaderLines>
            <c:extLst>
              <c:ext xmlns:c15="http://schemas.microsoft.com/office/drawing/2012/chart" uri="{CE6537A1-D6FC-4f65-9D91-7224C49458BB}">
                <c15:showLeaderLines val="1"/>
              </c:ext>
            </c:extLst>
          </c:dLbls>
          <c:xVal>
            <c:numRef>
              <c:f>'Тестирование DW'!$B$33:$F$33</c:f>
              <c:numCache>
                <c:formatCode>0.000</c:formatCode>
                <c:ptCount val="5"/>
                <c:pt idx="0">
                  <c:v>0.244352092908021</c:v>
                </c:pt>
                <c:pt idx="1">
                  <c:v>0.495186318988334</c:v>
                </c:pt>
                <c:pt idx="2">
                  <c:v>0.996852108702532</c:v>
                </c:pt>
                <c:pt idx="3">
                  <c:v>1.82238351345853</c:v>
                </c:pt>
                <c:pt idx="4">
                  <c:v>2.65576636436667</c:v>
                </c:pt>
              </c:numCache>
            </c:numRef>
          </c:xVal>
          <c:yVal>
            <c:numRef>
              <c:f>'Тестирование DW'!$B$43:$F$43</c:f>
              <c:numCache>
                <c:formatCode>0.0</c:formatCode>
                <c:ptCount val="5"/>
                <c:pt idx="0">
                  <c:v>11.5687086092715</c:v>
                </c:pt>
                <c:pt idx="1">
                  <c:v>20.7849695061971</c:v>
                </c:pt>
                <c:pt idx="2">
                  <c:v>32.9230769230769</c:v>
                </c:pt>
                <c:pt idx="3">
                  <c:v>45.0373427672956</c:v>
                </c:pt>
                <c:pt idx="4">
                  <c:v>52.7958387516255</c:v>
                </c:pt>
              </c:numCache>
            </c:numRef>
          </c:yVal>
          <c:smooth val="1"/>
        </c:ser>
        <c:axId val="70028686"/>
        <c:axId val="56747482"/>
      </c:scatterChart>
      <c:valAx>
        <c:axId val="70028686"/>
        <c:scaling>
          <c:orientation val="minMax"/>
        </c:scaling>
        <c:delete val="0"/>
        <c:axPos val="b"/>
        <c:majorGridlines>
          <c:spPr>
            <a:ln w="3240">
              <a:solidFill>
                <a:srgbClr val="c0c0c0"/>
              </a:solidFill>
              <a:round/>
            </a:ln>
          </c:spPr>
        </c:majorGridlines>
        <c:title>
          <c:tx>
            <c:rich>
              <a:bodyPr rot="0"/>
              <a:lstStyle/>
              <a:p>
                <a:pPr>
                  <a:defRPr b="0" sz="1300" strike="noStrike" u="none">
                    <a:uFillTx/>
                    <a:latin typeface="Nimbus Sans"/>
                  </a:defRPr>
                </a:pPr>
                <a:r>
                  <a:rPr b="1" lang="en-AU" sz="1400" strike="noStrike" u="none">
                    <a:solidFill>
                      <a:srgbClr val="000000"/>
                    </a:solidFill>
                    <a:uFillTx/>
                    <a:latin typeface="Arial"/>
                    <a:ea typeface="Arial"/>
                  </a:rPr>
                  <a:t>Eis</a:t>
                </a:r>
              </a:p>
            </c:rich>
          </c:tx>
          <c:layout>
            <c:manualLayout>
              <c:xMode val="edge"/>
              <c:yMode val="edge"/>
              <c:x val="0.501547388781431"/>
              <c:y val="0.930509478672986"/>
            </c:manualLayout>
          </c:layout>
          <c:overlay val="0"/>
          <c:spPr>
            <a:noFill/>
            <a:ln w="25560">
              <a:noFill/>
            </a:ln>
          </c:spPr>
        </c:title>
        <c:numFmt formatCode="0.0" sourceLinked="0"/>
        <c:majorTickMark val="out"/>
        <c:minorTickMark val="none"/>
        <c:tickLblPos val="nextTo"/>
        <c:spPr>
          <a:ln w="3240">
            <a:solidFill>
              <a:srgbClr val="000000"/>
            </a:solidFill>
            <a:round/>
          </a:ln>
        </c:spPr>
        <c:txPr>
          <a:bodyPr/>
          <a:lstStyle/>
          <a:p>
            <a:pPr>
              <a:defRPr b="0" sz="1000" strike="noStrike" u="none">
                <a:solidFill>
                  <a:srgbClr val="000000"/>
                </a:solidFill>
                <a:uFillTx/>
                <a:latin typeface="Arial"/>
                <a:ea typeface="Arial"/>
              </a:defRPr>
            </a:pPr>
          </a:p>
        </c:txPr>
        <c:crossAx val="56747482"/>
        <c:crosses val="autoZero"/>
        <c:crossBetween val="midCat"/>
      </c:valAx>
      <c:valAx>
        <c:axId val="56747482"/>
        <c:scaling>
          <c:orientation val="minMax"/>
        </c:scaling>
        <c:delete val="0"/>
        <c:axPos val="l"/>
        <c:majorGridlines>
          <c:spPr>
            <a:ln w="3240">
              <a:solidFill>
                <a:srgbClr val="c0c0c0"/>
              </a:solidFill>
              <a:round/>
            </a:ln>
          </c:spPr>
        </c:majorGridlines>
        <c:title>
          <c:tx>
            <c:rich>
              <a:bodyPr rot="-5400000"/>
              <a:lstStyle/>
              <a:p>
                <a:pPr>
                  <a:defRPr b="0" sz="1300" strike="noStrike" u="none">
                    <a:uFillTx/>
                    <a:latin typeface="Nimbus Sans"/>
                  </a:defRPr>
                </a:pPr>
                <a:r>
                  <a:rPr b="1" lang="en-AU" sz="1400" strike="noStrike" u="none">
                    <a:solidFill>
                      <a:srgbClr val="000000"/>
                    </a:solidFill>
                    <a:uFillTx/>
                    <a:latin typeface="Arial"/>
                    <a:ea typeface="Arial"/>
                  </a:rPr>
                  <a:t>t10</a:t>
                </a:r>
              </a:p>
            </c:rich>
          </c:tx>
          <c:layout>
            <c:manualLayout>
              <c:xMode val="edge"/>
              <c:yMode val="edge"/>
              <c:x val="0.00932301740812379"/>
              <c:y val="0.501599526066351"/>
            </c:manualLayout>
          </c:layout>
          <c:overlay val="0"/>
          <c:spPr>
            <a:noFill/>
            <a:ln w="25560">
              <a:noFill/>
            </a:ln>
          </c:spPr>
        </c:title>
        <c:numFmt formatCode="0" sourceLinked="0"/>
        <c:majorTickMark val="out"/>
        <c:minorTickMark val="none"/>
        <c:tickLblPos val="nextTo"/>
        <c:spPr>
          <a:ln w="3240">
            <a:solidFill>
              <a:srgbClr val="000000"/>
            </a:solidFill>
            <a:round/>
          </a:ln>
        </c:spPr>
        <c:txPr>
          <a:bodyPr/>
          <a:lstStyle/>
          <a:p>
            <a:pPr>
              <a:defRPr b="0" sz="1000" strike="noStrike" u="none">
                <a:solidFill>
                  <a:srgbClr val="000000"/>
                </a:solidFill>
                <a:uFillTx/>
                <a:latin typeface="Arial"/>
                <a:ea typeface="Arial"/>
              </a:defRPr>
            </a:pPr>
          </a:p>
        </c:txPr>
        <c:crossAx val="70028686"/>
        <c:crosses val="autoZero"/>
        <c:crossBetween val="midCat"/>
      </c:valAx>
      <c:spPr>
        <a:solidFill>
          <a:srgbClr val="ffffff"/>
        </a:solidFill>
        <a:ln w="12600">
          <a:solidFill>
            <a:srgbClr val="808080"/>
          </a:solidFill>
          <a:round/>
        </a:ln>
      </c:spPr>
    </c:plotArea>
    <c:plotVisOnly val="1"/>
    <c:dispBlanksAs val="gap"/>
  </c:chart>
  <c:spPr>
    <a:noFill/>
    <a:ln w="9360">
      <a:noFill/>
    </a:ln>
  </c:spPr>
</c:chartSpace>
</file>

<file path=xl/drawings/_rels/drawing1.xml.rels><?xml version="1.0" encoding="UTF-8"?>
<Relationships xmlns="http://schemas.openxmlformats.org/package/2006/relationships"><Relationship Id="rId1" Type="http://schemas.openxmlformats.org/officeDocument/2006/relationships/hyperlink" Target="http://www.jktech.com.au/sites/default/files/brochures/Test%20Procedure%20-%20Prestart%20ChecklistChinese.pdf" TargetMode="External"/><Relationship Id="rId2" Type="http://schemas.openxmlformats.org/officeDocument/2006/relationships/hyperlink" Target="http://www.jktech.com.au/sites/default/files/pdf-general/Test%20Procedure%20-%20Chinese.pdf" TargetMode="External"/><Relationship Id="rId3" Type="http://schemas.openxmlformats.org/officeDocument/2006/relationships/hyperlink" Target="http://www.jktech.com.au/sites/default/files/brochures/Test%20Procedure%20-%20Prestart%20ChecklistIndonesian.pdf" TargetMode="External"/><Relationship Id="rId4" Type="http://schemas.openxmlformats.org/officeDocument/2006/relationships/hyperlink" Target="http://www.jktech.com.au/sites/default/files/pdf-general/Test%20Procedure%20-%20English.pdf" TargetMode="External"/><Relationship Id="rId5" Type="http://schemas.openxmlformats.org/officeDocument/2006/relationships/hyperlink" Target="http://www.jktech.com.au/sites/default/files/brochures/Test%20Procedure%20-%20Prestart%20ChecklistPortuguese.pdf" TargetMode="External"/><Relationship Id="rId6" Type="http://schemas.openxmlformats.org/officeDocument/2006/relationships/hyperlink" Target="http://www.jktech.com.au/sites/default/files/pdf-general/Test%20Procedure%20-%20Portuguese.pdf" TargetMode="External"/><Relationship Id="rId7" Type="http://schemas.openxmlformats.org/officeDocument/2006/relationships/hyperlink" Target="http://www.jktech.com.au/sites/default/files/brochures/Test%20Procedure%20-%20Prestart%20ChecklistSpanish.pdf" TargetMode="External"/><Relationship Id="rId8" Type="http://schemas.openxmlformats.org/officeDocument/2006/relationships/hyperlink" Target="http://www.jktech.com.au/sites/default/files/pdf-general/Test%20Procedure%20-%20Spanish.pdf" TargetMode="External"/><Relationship Id="rId9" Type="http://schemas.openxmlformats.org/officeDocument/2006/relationships/hyperlink" Target="http://www.jktech.com.au/sites/default/files/Test%20Procedure%20-%20Prestart%20ChecklistEnglish.pdf" TargetMode="External"/><Relationship Id="rId10" Type="http://schemas.openxmlformats.org/officeDocument/2006/relationships/hyperlink" Target="http://www.jktech.com.au/sites/default/files/pdf-general/Test%20Procedure%20-%20English.pdf" TargetMode="External"/><Relationship Id="rId11" Type="http://schemas.openxmlformats.org/officeDocument/2006/relationships/hyperlink" Target="http://www.jktech.com.au/sites/default/files/brochures/Test%20Procedure%20-%20Prestart%20ChecklistRussian.pdf" TargetMode="External"/><Relationship Id="rId12" Type="http://schemas.openxmlformats.org/officeDocument/2006/relationships/hyperlink" Target="http://www.jktech.com.au/sites/default/files/pdf-general/Test%20Procedure%20-%20Russian.pdf" TargetMode="External"/>
</Relationships>
</file>

<file path=xl/drawings/_rels/drawing4.xml.rels><?xml version="1.0" encoding="UTF-8"?>
<Relationships xmlns="http://schemas.openxmlformats.org/package/2006/relationships"><Relationship Id="rId1" Type="http://schemas.openxmlformats.org/officeDocument/2006/relationships/hyperlink" Target="http://www.jktech.com.au/sites/default/files/pdf-general/Test%20Procedure%20-%20Chinese.pdf" TargetMode="External"/><Relationship Id="rId2" Type="http://schemas.openxmlformats.org/officeDocument/2006/relationships/hyperlink" Target="http://www.jktech.com.au/sites/default/files/pdf-general/Test%20Procedure%20-%20English.pdf" TargetMode="External"/><Relationship Id="rId3" Type="http://schemas.openxmlformats.org/officeDocument/2006/relationships/hyperlink" Target="http://www.jktech.com.au/sites/default/files/pdf-general/Test%20Procedure%20-%20Russian.pdf" TargetMode="External"/><Relationship Id="rId4" Type="http://schemas.openxmlformats.org/officeDocument/2006/relationships/hyperlink" Target="http://www.jktech.com.au/sites/default/files/pdf-general/Test%20Procedure%20-%20Spanish.pdf" TargetMode="External"/><Relationship Id="rId5" Type="http://schemas.openxmlformats.org/officeDocument/2006/relationships/hyperlink" Target="http://www.jktech.com.au/sites/default/files/pdf-general/Test%20Procedure%20-%20Portuguese.pdf" TargetMode="External"/><Relationship Id="rId6" Type="http://schemas.openxmlformats.org/officeDocument/2006/relationships/hyperlink" Target="http://www.jktech.com.au/sites/default/files/pdf-general/Test%20Procedure%20-%20English.pdf" TargetMode="External"/>
</Relationships>
</file>

<file path=xl/drawings/_rels/drawing5.xml.rels><?xml version="1.0" encoding="UTF-8"?>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27</xdr:col>
      <xdr:colOff>270360</xdr:colOff>
      <xdr:row>101</xdr:row>
      <xdr:rowOff>141120</xdr:rowOff>
    </xdr:from>
    <xdr:to>
      <xdr:col>27</xdr:col>
      <xdr:colOff>1664640</xdr:colOff>
      <xdr:row>104</xdr:row>
      <xdr:rowOff>49320</xdr:rowOff>
    </xdr:to>
    <xdr:sp>
      <xdr:nvSpPr>
        <xdr:cNvPr id="0" name="Text Box 48"/>
        <xdr:cNvSpPr/>
      </xdr:nvSpPr>
      <xdr:spPr>
        <a:xfrm>
          <a:off x="24512040" y="17587080"/>
          <a:ext cx="1394280" cy="393840"/>
        </a:xfrm>
        <a:prstGeom prst="rect">
          <a:avLst/>
        </a:prstGeom>
        <a:gradFill rotWithShape="0">
          <a:gsLst>
            <a:gs pos="0">
              <a:srgbClr val="99cc00">
                <a:alpha val="48000"/>
              </a:srgbClr>
            </a:gs>
            <a:gs pos="50000">
              <a:srgbClr val="ffff00">
                <a:alpha val="30000"/>
              </a:srgbClr>
            </a:gs>
            <a:gs pos="100000">
              <a:srgbClr val="99cc00">
                <a:alpha val="48000"/>
              </a:srgbClr>
            </a:gs>
          </a:gsLst>
          <a:lin ang="5400000"/>
        </a:gradFill>
        <a:ln w="38100">
          <a:solidFill>
            <a:srgbClr val="339966"/>
          </a:solidFill>
          <a:miter/>
        </a:ln>
      </xdr:spPr>
      <xdr:style>
        <a:lnRef idx="0"/>
        <a:fillRef idx="0"/>
        <a:effectRef idx="0"/>
        <a:fontRef idx="minor"/>
      </xdr:style>
      <xdr:txBody>
        <a:bodyPr vertOverflow="clip" lIns="27360" rIns="27360" tIns="23040" bIns="0" anchor="t" upright="1">
          <a:noAutofit/>
        </a:bodyPr>
        <a:p>
          <a:pPr algn="ctr">
            <a:lnSpc>
              <a:spcPts val="901"/>
            </a:lnSpc>
          </a:pPr>
          <a:r>
            <a:rPr b="0" lang="en-AU" sz="1000" strike="noStrike" u="none">
              <a:solidFill>
                <a:srgbClr val="000000"/>
              </a:solidFill>
              <a:uFillTx/>
              <a:latin typeface="Arial"/>
            </a:rPr>
            <a:t>Sort Language Translation Table</a:t>
          </a:r>
          <a:endParaRPr b="0" lang="en-US" sz="1000" strike="noStrike" u="none">
            <a:uFillTx/>
            <a:latin typeface="Nimbus Roman"/>
          </a:endParaRPr>
        </a:p>
      </xdr:txBody>
    </xdr:sp>
    <xdr:clientData/>
  </xdr:twoCellAnchor>
  <xdr:twoCellAnchor editAs="twoCell">
    <xdr:from>
      <xdr:col>29</xdr:col>
      <xdr:colOff>498960</xdr:colOff>
      <xdr:row>98</xdr:row>
      <xdr:rowOff>110160</xdr:rowOff>
    </xdr:from>
    <xdr:to>
      <xdr:col>29</xdr:col>
      <xdr:colOff>2814120</xdr:colOff>
      <xdr:row>99</xdr:row>
      <xdr:rowOff>161640</xdr:rowOff>
    </xdr:to>
    <xdr:sp>
      <xdr:nvSpPr>
        <xdr:cNvPr id="1" name="Text Box 49"/>
        <xdr:cNvSpPr/>
      </xdr:nvSpPr>
      <xdr:spPr>
        <a:xfrm>
          <a:off x="29604240" y="17070480"/>
          <a:ext cx="2315160" cy="213480"/>
        </a:xfrm>
        <a:prstGeom prst="rect">
          <a:avLst/>
        </a:prstGeom>
        <a:gradFill rotWithShape="0">
          <a:gsLst>
            <a:gs pos="0">
              <a:srgbClr val="99cc00">
                <a:alpha val="48000"/>
              </a:srgbClr>
            </a:gs>
            <a:gs pos="50000">
              <a:srgbClr val="ffff00">
                <a:alpha val="30000"/>
              </a:srgbClr>
            </a:gs>
            <a:gs pos="100000">
              <a:srgbClr val="99cc00">
                <a:alpha val="48000"/>
              </a:srgbClr>
            </a:gs>
          </a:gsLst>
          <a:lin ang="5400000"/>
        </a:gradFill>
        <a:ln w="38100">
          <a:solidFill>
            <a:srgbClr val="339966"/>
          </a:solidFill>
          <a:miter/>
        </a:ln>
      </xdr:spPr>
      <xdr:style>
        <a:lnRef idx="0"/>
        <a:fillRef idx="0"/>
        <a:effectRef idx="0"/>
        <a:fontRef idx="minor"/>
      </xdr:style>
      <xdr:txBody>
        <a:bodyPr vertOverflow="clip" lIns="27360" rIns="0" tIns="23040" bIns="0" anchor="t" upright="1">
          <a:noAutofit/>
        </a:bodyPr>
        <a:p>
          <a:pPr>
            <a:lnSpc>
              <a:spcPct val="100000"/>
            </a:lnSpc>
          </a:pPr>
          <a:r>
            <a:rPr b="0" lang="en-AU" sz="1000" strike="noStrike" u="none">
              <a:solidFill>
                <a:srgbClr val="000000"/>
              </a:solidFill>
              <a:uFillTx/>
              <a:latin typeface="Arial"/>
            </a:rPr>
            <a:t>RETURN TO START POSITION</a:t>
          </a:r>
          <a:endParaRPr b="0" lang="en-US" sz="1000" strike="noStrike" u="none">
            <a:uFillTx/>
            <a:latin typeface="Nimbus Roman"/>
          </a:endParaRPr>
        </a:p>
      </xdr:txBody>
    </xdr:sp>
    <xdr:clientData/>
  </xdr:twoCellAnchor>
  <xdr:twoCellAnchor editAs="twoCell">
    <xdr:from>
      <xdr:col>5</xdr:col>
      <xdr:colOff>0</xdr:colOff>
      <xdr:row>26</xdr:row>
      <xdr:rowOff>59040</xdr:rowOff>
    </xdr:from>
    <xdr:to>
      <xdr:col>15</xdr:col>
      <xdr:colOff>744480</xdr:colOff>
      <xdr:row>29</xdr:row>
      <xdr:rowOff>73800</xdr:rowOff>
    </xdr:to>
    <xdr:sp>
      <xdr:nvSpPr>
        <xdr:cNvPr id="2" name="TB_CorDia_C"/>
        <xdr:cNvSpPr/>
      </xdr:nvSpPr>
      <xdr:spPr>
        <a:xfrm>
          <a:off x="9232200" y="5267160"/>
          <a:ext cx="8637120" cy="51408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ja-JP" sz="1000" strike="noStrike" u="none">
              <a:solidFill>
                <a:srgbClr val="ff00ff"/>
              </a:solidFill>
              <a:uFillTx/>
              <a:latin typeface="Arial"/>
            </a:rPr>
            <a:t>注：岩芯直径超过</a:t>
          </a:r>
          <a:r>
            <a:rPr b="0" lang="en-US" sz="1000" strike="noStrike" u="none">
              <a:solidFill>
                <a:srgbClr val="ff00ff"/>
              </a:solidFill>
              <a:uFillTx/>
              <a:latin typeface="Arial"/>
            </a:rPr>
            <a:t>70</a:t>
          </a:r>
          <a:r>
            <a:rPr b="0" lang="en-AU" sz="1000" strike="noStrike" u="none">
              <a:solidFill>
                <a:srgbClr val="ff00ff"/>
              </a:solidFill>
              <a:uFillTx/>
              <a:latin typeface="Arial"/>
            </a:rPr>
            <a:t>mm</a:t>
          </a:r>
          <a:r>
            <a:rPr b="0" lang="ja-JP" sz="1000" strike="noStrike" u="none">
              <a:solidFill>
                <a:srgbClr val="ff00ff"/>
              </a:solidFill>
              <a:uFillTx/>
              <a:latin typeface="Arial"/>
            </a:rPr>
            <a:t>试验，建议用采用破碎、选择矿粒的方式。否则，不能达到更高的能量水平。</a:t>
          </a:r>
          <a:endParaRPr b="0" lang="en-US" sz="1000" strike="noStrike" u="none">
            <a:uFillTx/>
            <a:latin typeface="Nimbus Roman"/>
          </a:endParaRPr>
        </a:p>
      </xdr:txBody>
    </xdr:sp>
    <xdr:clientData/>
  </xdr:twoCellAnchor>
  <xdr:twoCellAnchor editAs="twoCell">
    <xdr:from>
      <xdr:col>5</xdr:col>
      <xdr:colOff>0</xdr:colOff>
      <xdr:row>26</xdr:row>
      <xdr:rowOff>59040</xdr:rowOff>
    </xdr:from>
    <xdr:to>
      <xdr:col>15</xdr:col>
      <xdr:colOff>744480</xdr:colOff>
      <xdr:row>29</xdr:row>
      <xdr:rowOff>73800</xdr:rowOff>
    </xdr:to>
    <xdr:sp>
      <xdr:nvSpPr>
        <xdr:cNvPr id="3" name="TB_CorDia_P"/>
        <xdr:cNvSpPr/>
      </xdr:nvSpPr>
      <xdr:spPr>
        <a:xfrm>
          <a:off x="9232200" y="5267160"/>
          <a:ext cx="8637120" cy="51408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en-AU" sz="1000" strike="noStrike" u="none">
              <a:solidFill>
                <a:srgbClr val="ff00ff"/>
              </a:solidFill>
              <a:uFillTx/>
              <a:latin typeface="Arial"/>
            </a:rPr>
            <a:t>Nota: Para testes em testemunhos com mais de 70 mm de diâmetro, é recomendado utilizar o método "crushing and particle selection".  De outra forma, não será possível alcançar as energias mais altas</a:t>
          </a:r>
          <a:r>
            <a:rPr b="0" lang="en-AU" sz="1100" strike="noStrike" u="none">
              <a:solidFill>
                <a:srgbClr val="000000"/>
              </a:solidFill>
              <a:uFillTx/>
              <a:latin typeface="Calibri"/>
            </a:rPr>
            <a:t>.</a:t>
          </a:r>
          <a:endParaRPr b="0" lang="en-US" sz="1100" strike="noStrike" u="none">
            <a:uFillTx/>
            <a:latin typeface="Nimbus Roman"/>
          </a:endParaRPr>
        </a:p>
      </xdr:txBody>
    </xdr:sp>
    <xdr:clientData/>
  </xdr:twoCellAnchor>
  <xdr:twoCellAnchor editAs="twoCell">
    <xdr:from>
      <xdr:col>5</xdr:col>
      <xdr:colOff>0</xdr:colOff>
      <xdr:row>26</xdr:row>
      <xdr:rowOff>59040</xdr:rowOff>
    </xdr:from>
    <xdr:to>
      <xdr:col>15</xdr:col>
      <xdr:colOff>744480</xdr:colOff>
      <xdr:row>29</xdr:row>
      <xdr:rowOff>73800</xdr:rowOff>
    </xdr:to>
    <xdr:sp>
      <xdr:nvSpPr>
        <xdr:cNvPr id="4" name="TB_CorDia_S"/>
        <xdr:cNvSpPr/>
      </xdr:nvSpPr>
      <xdr:spPr>
        <a:xfrm>
          <a:off x="9232200" y="5267160"/>
          <a:ext cx="8637120" cy="51408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en-AU" sz="1000" strike="noStrike" u="none">
              <a:solidFill>
                <a:srgbClr val="ff00ff"/>
              </a:solidFill>
              <a:uFillTx/>
              <a:latin typeface="Arial"/>
            </a:rPr>
            <a:t>Nota: Que las pruebas en los diámetros de base que exceden 70 milímetros es recomendable utilicen el método del machacamiento y de la selección de la partícula. Si no usted no podrá alcanzar las energías más altas.</a:t>
          </a:r>
          <a:endParaRPr b="0" lang="en-US" sz="1000" strike="noStrike" u="none">
            <a:uFillTx/>
            <a:latin typeface="Nimbus Roman"/>
          </a:endParaRPr>
        </a:p>
      </xdr:txBody>
    </xdr:sp>
    <xdr:clientData/>
  </xdr:twoCellAnchor>
  <xdr:twoCellAnchor editAs="twoCell">
    <xdr:from>
      <xdr:col>5</xdr:col>
      <xdr:colOff>0</xdr:colOff>
      <xdr:row>26</xdr:row>
      <xdr:rowOff>66600</xdr:rowOff>
    </xdr:from>
    <xdr:to>
      <xdr:col>16</xdr:col>
      <xdr:colOff>360</xdr:colOff>
      <xdr:row>29</xdr:row>
      <xdr:rowOff>73800</xdr:rowOff>
    </xdr:to>
    <xdr:sp>
      <xdr:nvSpPr>
        <xdr:cNvPr id="5" name="TB_CorDia_I"/>
        <xdr:cNvSpPr/>
      </xdr:nvSpPr>
      <xdr:spPr>
        <a:xfrm>
          <a:off x="9232200" y="5274720"/>
          <a:ext cx="8637840" cy="50652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en-AU" sz="1000" strike="noStrike" u="none">
              <a:solidFill>
                <a:srgbClr val="ff00ff"/>
              </a:solidFill>
              <a:uFillTx/>
              <a:latin typeface="Arial"/>
            </a:rPr>
            <a:t>Note:  Untuk </a:t>
          </a:r>
          <a:r>
            <a:rPr b="0" i="1" lang="en-AU" sz="1000" strike="noStrike" u="none">
              <a:solidFill>
                <a:srgbClr val="ff00ff"/>
              </a:solidFill>
              <a:uFillTx/>
              <a:latin typeface="Arial"/>
            </a:rPr>
            <a:t>core </a:t>
          </a:r>
          <a:r>
            <a:rPr b="0" lang="en-AU" sz="1000" strike="noStrike" u="none">
              <a:solidFill>
                <a:srgbClr val="ff00ff"/>
              </a:solidFill>
              <a:uFillTx/>
              <a:latin typeface="Arial"/>
            </a:rPr>
            <a:t>yg lebih dari 70 mm, disarankan menggunakan metoda batuan pecahan. Untuk mendapatkan pilihan energi yang tinggi</a:t>
          </a:r>
          <a:endParaRPr b="0" lang="en-US" sz="1000" strike="noStrike" u="none">
            <a:uFillTx/>
            <a:latin typeface="Nimbus Roman"/>
          </a:endParaRPr>
        </a:p>
      </xdr:txBody>
    </xdr:sp>
    <xdr:clientData/>
  </xdr:twoCellAnchor>
  <xdr:twoCellAnchor editAs="twoCell">
    <xdr:from>
      <xdr:col>5</xdr:col>
      <xdr:colOff>0</xdr:colOff>
      <xdr:row>26</xdr:row>
      <xdr:rowOff>59040</xdr:rowOff>
    </xdr:from>
    <xdr:to>
      <xdr:col>15</xdr:col>
      <xdr:colOff>744480</xdr:colOff>
      <xdr:row>29</xdr:row>
      <xdr:rowOff>73800</xdr:rowOff>
    </xdr:to>
    <xdr:sp>
      <xdr:nvSpPr>
        <xdr:cNvPr id="6" name="TB_CorDia_E"/>
        <xdr:cNvSpPr/>
      </xdr:nvSpPr>
      <xdr:spPr>
        <a:xfrm>
          <a:off x="9232200" y="5267160"/>
          <a:ext cx="8637120" cy="51408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en-AU" sz="1000" strike="noStrike" u="none">
              <a:solidFill>
                <a:srgbClr val="ff00ff"/>
              </a:solidFill>
              <a:uFillTx/>
              <a:latin typeface="Arial"/>
            </a:rPr>
            <a:t>Note: For tests on core diameters exceeding 70 mm it is advisable to use the crushing and particle selection method.  Otherwise you will not be able to achieve the higher energies.</a:t>
          </a:r>
          <a:endParaRPr b="0" lang="en-US" sz="1000" strike="noStrike" u="none">
            <a:uFillTx/>
            <a:latin typeface="Nimbus Roman"/>
          </a:endParaRPr>
        </a:p>
      </xdr:txBody>
    </xdr:sp>
    <xdr:clientData/>
  </xdr:twoCellAnchor>
  <xdr:twoCellAnchor editAs="twoCell">
    <xdr:from>
      <xdr:col>5</xdr:col>
      <xdr:colOff>0</xdr:colOff>
      <xdr:row>29</xdr:row>
      <xdr:rowOff>74160</xdr:rowOff>
    </xdr:from>
    <xdr:to>
      <xdr:col>15</xdr:col>
      <xdr:colOff>744480</xdr:colOff>
      <xdr:row>44</xdr:row>
      <xdr:rowOff>7200</xdr:rowOff>
    </xdr:to>
    <xdr:sp>
      <xdr:nvSpPr>
        <xdr:cNvPr id="7" name="TB_Method_C"/>
        <xdr:cNvSpPr/>
      </xdr:nvSpPr>
      <xdr:spPr>
        <a:xfrm>
          <a:off x="9232200" y="5781600"/>
          <a:ext cx="86371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ja-JP" sz="1000" strike="noStrike" u="none">
              <a:solidFill>
                <a:srgbClr val="000000"/>
              </a:solidFill>
              <a:uFillTx/>
              <a:latin typeface="Arial"/>
            </a:rPr>
            <a:t>第</a:t>
          </a:r>
          <a:r>
            <a:rPr b="0" lang="en-US" sz="1000" strike="noStrike" u="none">
              <a:solidFill>
                <a:srgbClr val="000000"/>
              </a:solidFill>
              <a:uFillTx/>
              <a:latin typeface="Arial"/>
            </a:rPr>
            <a:t>1</a:t>
          </a:r>
          <a:r>
            <a:rPr b="0" lang="ja-JP" sz="1000" strike="noStrike" u="none">
              <a:solidFill>
                <a:srgbClr val="000000"/>
              </a:solidFill>
              <a:uFillTx/>
              <a:latin typeface="Arial"/>
            </a:rPr>
            <a:t>步：</a:t>
          </a:r>
          <a:endParaRPr b="0" lang="en-US" sz="1000" strike="noStrike" u="none">
            <a:uFillTx/>
            <a:latin typeface="Nimbus Roman"/>
          </a:endParaRPr>
        </a:p>
        <a:p>
          <a:pPr>
            <a:lnSpc>
              <a:spcPct val="100000"/>
            </a:lnSpc>
          </a:pPr>
          <a:r>
            <a:rPr b="0" lang="en-US" sz="1000" strike="noStrike" u="none">
              <a:solidFill>
                <a:srgbClr val="000000"/>
              </a:solidFill>
              <a:uFillTx/>
              <a:latin typeface="Arial"/>
            </a:rPr>
            <a:t>    </a:t>
          </a:r>
          <a:r>
            <a:rPr b="0" lang="en-AU" sz="1000" strike="noStrike" u="none">
              <a:solidFill>
                <a:srgbClr val="000000"/>
              </a:solidFill>
              <a:uFillTx/>
              <a:latin typeface="Arial"/>
            </a:rPr>
            <a:t>SMC</a:t>
          </a:r>
          <a:r>
            <a:rPr b="0" lang="ja-JP" sz="1000" strike="noStrike" u="none">
              <a:solidFill>
                <a:srgbClr val="000000"/>
              </a:solidFill>
              <a:uFillTx/>
              <a:latin typeface="Arial"/>
            </a:rPr>
            <a:t>试验采用的矿石试样有两种。试样可以是切割为</a:t>
          </a:r>
          <a:r>
            <a:rPr b="0" lang="en-US" sz="1000" strike="noStrike" u="none">
              <a:solidFill>
                <a:srgbClr val="000000"/>
              </a:solidFill>
              <a:uFillTx/>
              <a:latin typeface="Arial"/>
            </a:rPr>
            <a:t>1/4</a:t>
          </a:r>
          <a:r>
            <a:rPr b="0" lang="ja-JP" sz="1000" strike="noStrike" u="none">
              <a:solidFill>
                <a:srgbClr val="000000"/>
              </a:solidFill>
              <a:uFillTx/>
              <a:latin typeface="Arial"/>
            </a:rPr>
            <a:t>的钻探岩芯，也可以是对大块岩石破碎制样。这两种方式被认为有相同的准确性，采用何种试样取决于偏爱问题。破碎、分级与挑选矿样的方式较为简单，所以样品充足时该方法更有可取之处，该方法大约需要</a:t>
          </a:r>
          <a:r>
            <a:rPr b="0" lang="en-US" sz="1000" strike="noStrike" u="none">
              <a:solidFill>
                <a:srgbClr val="000000"/>
              </a:solidFill>
              <a:uFillTx/>
              <a:latin typeface="Arial"/>
            </a:rPr>
            <a:t>20</a:t>
          </a:r>
          <a:r>
            <a:rPr b="0" lang="ja-JP" sz="1000" strike="noStrike" u="none">
              <a:solidFill>
                <a:srgbClr val="000000"/>
              </a:solidFill>
              <a:uFillTx/>
              <a:latin typeface="Arial"/>
            </a:rPr>
            <a:t>公斤样品，通常比切割岩芯法要多。除非要处理最大直径的岩芯。</a:t>
          </a:r>
          <a:endParaRPr b="0" lang="en-US" sz="1000" strike="noStrike" u="none">
            <a:uFillTx/>
            <a:latin typeface="Nimbus Roman"/>
          </a:endParaRPr>
        </a:p>
        <a:p>
          <a:pPr>
            <a:lnSpc>
              <a:spcPts val="1100"/>
            </a:lnSpc>
          </a:pPr>
          <a:endParaRPr b="0" lang="en-US" sz="1000" strike="noStrike" u="none">
            <a:uFillTx/>
            <a:latin typeface="Nimbus Roman"/>
          </a:endParaRPr>
        </a:p>
        <a:p>
          <a:pPr>
            <a:lnSpc>
              <a:spcPct val="100000"/>
            </a:lnSpc>
          </a:pPr>
          <a:r>
            <a:rPr b="0" lang="en-US" sz="1000" strike="noStrike" u="none">
              <a:solidFill>
                <a:srgbClr val="000000"/>
              </a:solidFill>
              <a:uFillTx/>
              <a:latin typeface="Arial"/>
            </a:rPr>
            <a:t>    </a:t>
          </a:r>
          <a:r>
            <a:rPr b="0" lang="ja-JP" sz="1000" strike="noStrike" u="none">
              <a:solidFill>
                <a:srgbClr val="000000"/>
              </a:solidFill>
              <a:uFillTx/>
              <a:latin typeface="Arial"/>
            </a:rPr>
            <a:t>在使用破碎制样方法时，在“试验执行类型”下拉菜单里选择“破碎岩石”，在“选择试验物料粒度”下拉菜单内选择粒度范围。在制备试样足够的情况下，理想的试验粒级是</a:t>
          </a:r>
          <a:r>
            <a:rPr b="0" lang="en-US" sz="1000" strike="noStrike" u="none">
              <a:solidFill>
                <a:srgbClr val="000000"/>
              </a:solidFill>
              <a:uFillTx/>
              <a:latin typeface="Arial"/>
            </a:rPr>
            <a:t>-31.5</a:t>
          </a:r>
          <a:r>
            <a:rPr b="0" lang="ja-JP" sz="1000" strike="noStrike" u="none">
              <a:solidFill>
                <a:srgbClr val="000000"/>
              </a:solidFill>
              <a:uFillTx/>
              <a:latin typeface="Arial"/>
            </a:rPr>
            <a:t>～</a:t>
          </a:r>
          <a:r>
            <a:rPr b="0" lang="en-US" sz="1000" strike="noStrike" u="none">
              <a:solidFill>
                <a:srgbClr val="000000"/>
              </a:solidFill>
              <a:uFillTx/>
              <a:latin typeface="Arial"/>
            </a:rPr>
            <a:t>+26.5</a:t>
          </a:r>
          <a:r>
            <a:rPr b="0" lang="en-AU" sz="1000" strike="noStrike" u="none">
              <a:solidFill>
                <a:srgbClr val="000000"/>
              </a:solidFill>
              <a:uFillTx/>
              <a:latin typeface="Arial"/>
            </a:rPr>
            <a:t>mm</a:t>
          </a:r>
          <a:r>
            <a:rPr b="0" lang="ja-JP" sz="1000" strike="noStrike" u="none">
              <a:solidFill>
                <a:srgbClr val="000000"/>
              </a:solidFill>
              <a:uFillTx/>
              <a:latin typeface="Arial"/>
            </a:rPr>
            <a:t>。然而最常用是选取</a:t>
          </a:r>
          <a:r>
            <a:rPr b="0" lang="en-US" sz="1000" strike="noStrike" u="none">
              <a:solidFill>
                <a:srgbClr val="000000"/>
              </a:solidFill>
              <a:uFillTx/>
              <a:latin typeface="Arial"/>
            </a:rPr>
            <a:t>-22.4</a:t>
          </a:r>
          <a:r>
            <a:rPr b="0" lang="ja-JP" sz="1000" strike="noStrike" u="none">
              <a:solidFill>
                <a:srgbClr val="000000"/>
              </a:solidFill>
              <a:uFillTx/>
              <a:latin typeface="Arial"/>
            </a:rPr>
            <a:t>～</a:t>
          </a:r>
          <a:r>
            <a:rPr b="0" lang="en-US" sz="1000" strike="noStrike" u="none">
              <a:solidFill>
                <a:srgbClr val="000000"/>
              </a:solidFill>
              <a:uFillTx/>
              <a:latin typeface="Arial"/>
            </a:rPr>
            <a:t>+19</a:t>
          </a:r>
          <a:r>
            <a:rPr b="0" lang="en-AU" sz="1000" strike="noStrike" u="none">
              <a:solidFill>
                <a:srgbClr val="000000"/>
              </a:solidFill>
              <a:uFillTx/>
              <a:latin typeface="Arial"/>
            </a:rPr>
            <a:t>mm</a:t>
          </a:r>
          <a:r>
            <a:rPr b="0" lang="ja-JP" sz="1000" strike="noStrike" u="none">
              <a:solidFill>
                <a:srgbClr val="000000"/>
              </a:solidFill>
              <a:uFillTx/>
              <a:latin typeface="Arial"/>
            </a:rPr>
            <a:t>粒级进行试验，试验结果也完全可以接受。如果样品数量受到限制，只能在最细粒级</a:t>
          </a:r>
          <a:r>
            <a:rPr b="0" lang="en-US" sz="1000" strike="noStrike" u="none">
              <a:solidFill>
                <a:srgbClr val="000000"/>
              </a:solidFill>
              <a:uFillTx/>
              <a:latin typeface="Arial"/>
            </a:rPr>
            <a:t>-16</a:t>
          </a:r>
          <a:r>
            <a:rPr b="0" lang="ja-JP" sz="1000" strike="noStrike" u="none">
              <a:solidFill>
                <a:srgbClr val="000000"/>
              </a:solidFill>
              <a:uFillTx/>
              <a:latin typeface="Arial"/>
            </a:rPr>
            <a:t>～</a:t>
          </a:r>
          <a:r>
            <a:rPr b="0" lang="en-US" sz="1000" strike="noStrike" u="none">
              <a:solidFill>
                <a:srgbClr val="000000"/>
              </a:solidFill>
              <a:uFillTx/>
              <a:latin typeface="Arial"/>
            </a:rPr>
            <a:t>+13.2 </a:t>
          </a:r>
          <a:r>
            <a:rPr b="0" lang="en-AU" sz="1000" strike="noStrike" u="none">
              <a:solidFill>
                <a:srgbClr val="000000"/>
              </a:solidFill>
              <a:uFillTx/>
              <a:latin typeface="Arial"/>
            </a:rPr>
            <a:t>mm</a:t>
          </a:r>
          <a:r>
            <a:rPr b="0" lang="ja-JP" sz="1000" strike="noStrike" u="none">
              <a:solidFill>
                <a:srgbClr val="000000"/>
              </a:solidFill>
              <a:uFillTx/>
              <a:latin typeface="Arial"/>
            </a:rPr>
            <a:t>内进行，虽然试验结果仍可以接受，但是使用该粒级试验结果准确性不如上述好，当没有足够的样本进行粗颗粒试样时，只能作为最后的测试方案。</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endParaRPr b="0" lang="en-US" sz="1000" strike="noStrike" u="none">
            <a:uFillTx/>
            <a:latin typeface="Nimbus Roman"/>
          </a:endParaRPr>
        </a:p>
      </xdr:txBody>
    </xdr:sp>
    <xdr:clientData/>
  </xdr:twoCellAnchor>
  <xdr:twoCellAnchor editAs="twoCell">
    <xdr:from>
      <xdr:col>5</xdr:col>
      <xdr:colOff>6840</xdr:colOff>
      <xdr:row>1</xdr:row>
      <xdr:rowOff>17640</xdr:rowOff>
    </xdr:from>
    <xdr:to>
      <xdr:col>5</xdr:col>
      <xdr:colOff>855720</xdr:colOff>
      <xdr:row>7</xdr:row>
      <xdr:rowOff>15120</xdr:rowOff>
    </xdr:to>
    <xdr:sp>
      <xdr:nvSpPr>
        <xdr:cNvPr id="8" name="TB_Erase_C"/>
        <xdr:cNvSpPr/>
      </xdr:nvSpPr>
      <xdr:spPr>
        <a:xfrm>
          <a:off x="9239040" y="297720"/>
          <a:ext cx="848880" cy="1254600"/>
        </a:xfrm>
        <a:prstGeom prst="rect">
          <a:avLst/>
        </a:prstGeom>
        <a:solidFill>
          <a:srgbClr val="ffff00"/>
        </a:solidFill>
        <a:ln w="38100">
          <a:solidFill>
            <a:srgbClr val="339966"/>
          </a:solidFill>
          <a:miter/>
        </a:ln>
      </xdr:spPr>
      <xdr:style>
        <a:lnRef idx="0"/>
        <a:fillRef idx="0"/>
        <a:effectRef idx="0"/>
        <a:fontRef idx="minor"/>
      </xdr:style>
      <xdr:txBody>
        <a:bodyPr vertOverflow="clip" lIns="27360" rIns="27360" tIns="23040" bIns="23040" anchor="ctr" upright="1">
          <a:noAutofit/>
        </a:bodyPr>
        <a:p>
          <a:pPr algn="ctr">
            <a:lnSpc>
              <a:spcPct val="100000"/>
            </a:lnSpc>
          </a:pPr>
          <a:r>
            <a:rPr b="0" lang="ja-JP" sz="1000" strike="noStrike" u="none">
              <a:solidFill>
                <a:srgbClr val="000000"/>
              </a:solidFill>
              <a:uFillTx/>
              <a:latin typeface="Arial"/>
            </a:rPr>
            <a:t>删除所有输入数据</a:t>
          </a:r>
          <a:endParaRPr b="0" lang="en-US" sz="1000" strike="noStrike" u="none">
            <a:uFillTx/>
            <a:latin typeface="Nimbus Roman"/>
          </a:endParaRPr>
        </a:p>
      </xdr:txBody>
    </xdr:sp>
    <xdr:clientData/>
  </xdr:twoCellAnchor>
  <xdr:twoCellAnchor editAs="twoCell">
    <xdr:from>
      <xdr:col>6</xdr:col>
      <xdr:colOff>0</xdr:colOff>
      <xdr:row>15</xdr:row>
      <xdr:rowOff>15120</xdr:rowOff>
    </xdr:from>
    <xdr:to>
      <xdr:col>16</xdr:col>
      <xdr:colOff>720</xdr:colOff>
      <xdr:row>18</xdr:row>
      <xdr:rowOff>24480</xdr:rowOff>
    </xdr:to>
    <xdr:sp>
      <xdr:nvSpPr>
        <xdr:cNvPr id="9" name="TB_CheckList_C">
          <a:hlinkClick r:id="rId1"/>
        </xdr:cNvPr>
        <xdr:cNvSpPr/>
      </xdr:nvSpPr>
      <xdr:spPr>
        <a:xfrm>
          <a:off x="10138320" y="3247920"/>
          <a:ext cx="7732080" cy="523800"/>
        </a:xfrm>
        <a:prstGeom prst="rect">
          <a:avLst/>
        </a:prstGeom>
        <a:solidFill>
          <a:srgbClr val="ffff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ts val="1301"/>
            </a:lnSpc>
          </a:pPr>
          <a:r>
            <a:rPr b="0" lang="ja-JP" sz="1100" strike="noStrike" u="none">
              <a:solidFill>
                <a:schemeClr val="dk1"/>
              </a:solidFill>
              <a:uFillTx/>
              <a:latin typeface="Calibri"/>
            </a:rPr>
            <a:t>点击这个按钮去前起动清单。 </a:t>
          </a:r>
          <a:endParaRPr b="0" lang="en-US" sz="1100" strike="noStrike" u="none">
            <a:uFillTx/>
            <a:latin typeface="Nimbus Roman"/>
          </a:endParaRPr>
        </a:p>
        <a:p>
          <a:pPr>
            <a:lnSpc>
              <a:spcPts val="1301"/>
            </a:lnSpc>
          </a:pPr>
          <a:r>
            <a:rPr b="0" lang="ja-JP" sz="1100" strike="noStrike" u="none">
              <a:solidFill>
                <a:schemeClr val="dk1"/>
              </a:solidFill>
              <a:uFillTx/>
              <a:latin typeface="Calibri"/>
            </a:rPr>
            <a:t>在您开始下落测试之前，打印此出来并且完成它。 </a:t>
          </a:r>
          <a:endParaRPr b="0" lang="en-US" sz="1100" strike="noStrike" u="none">
            <a:uFillTx/>
            <a:latin typeface="Nimbus Roman"/>
          </a:endParaRPr>
        </a:p>
      </xdr:txBody>
    </xdr:sp>
    <xdr:clientData/>
  </xdr:twoCellAnchor>
  <xdr:twoCellAnchor editAs="twoCell">
    <xdr:from>
      <xdr:col>5</xdr:col>
      <xdr:colOff>856440</xdr:colOff>
      <xdr:row>18</xdr:row>
      <xdr:rowOff>129600</xdr:rowOff>
    </xdr:from>
    <xdr:to>
      <xdr:col>15</xdr:col>
      <xdr:colOff>744480</xdr:colOff>
      <xdr:row>21</xdr:row>
      <xdr:rowOff>54000</xdr:rowOff>
    </xdr:to>
    <xdr:sp>
      <xdr:nvSpPr>
        <xdr:cNvPr id="10" name="TB_Procedure_C">
          <a:hlinkClick r:id="rId2"/>
        </xdr:cNvPr>
        <xdr:cNvSpPr/>
      </xdr:nvSpPr>
      <xdr:spPr>
        <a:xfrm>
          <a:off x="10088640" y="3876840"/>
          <a:ext cx="7780680" cy="505440"/>
        </a:xfrm>
        <a:prstGeom prst="rect">
          <a:avLst/>
        </a:prstGeom>
        <a:solidFill>
          <a:srgbClr val="ffc0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ts val="1301"/>
            </a:lnSpc>
          </a:pPr>
          <a:r>
            <a:rPr b="0" lang="ja-JP" sz="1100" strike="noStrike" u="none">
              <a:solidFill>
                <a:schemeClr val="dk1"/>
              </a:solidFill>
              <a:uFillTx/>
              <a:latin typeface="Calibri"/>
            </a:rPr>
            <a:t>如果您希望看充分的</a:t>
          </a:r>
          <a:r>
            <a:rPr b="0" lang="en-AU" sz="1100" strike="noStrike" u="none">
              <a:solidFill>
                <a:schemeClr val="dk1"/>
              </a:solidFill>
              <a:uFillTx/>
              <a:latin typeface="Calibri"/>
            </a:rPr>
            <a:t>SMC</a:t>
          </a:r>
          <a:r>
            <a:rPr b="0" lang="ja-JP" sz="1100" strike="noStrike" u="none">
              <a:solidFill>
                <a:schemeClr val="dk1"/>
              </a:solidFill>
              <a:uFillTx/>
              <a:latin typeface="Calibri"/>
            </a:rPr>
            <a:t>试验过程，点击这个按钮。</a:t>
          </a:r>
          <a:endParaRPr b="0" lang="en-US" sz="1100" strike="noStrike" u="none">
            <a:uFillTx/>
            <a:latin typeface="Nimbus Roman"/>
          </a:endParaRPr>
        </a:p>
        <a:p>
          <a:pPr>
            <a:lnSpc>
              <a:spcPts val="1400"/>
            </a:lnSpc>
          </a:pPr>
          <a:r>
            <a:rPr b="0" lang="ja-JP" sz="1100" strike="noStrike" u="none">
              <a:solidFill>
                <a:schemeClr val="dk1"/>
              </a:solidFill>
              <a:uFillTx/>
              <a:latin typeface="Calibri"/>
            </a:rPr>
            <a:t>这通过互联网现在是可利用的。</a:t>
          </a:r>
          <a:endParaRPr b="0" lang="en-US" sz="1100" strike="noStrike" u="none">
            <a:uFillTx/>
            <a:latin typeface="Nimbus Roman"/>
          </a:endParaRPr>
        </a:p>
      </xdr:txBody>
    </xdr:sp>
    <xdr:clientData/>
  </xdr:twoCellAnchor>
  <xdr:twoCellAnchor editAs="twoCell">
    <xdr:from>
      <xdr:col>5</xdr:col>
      <xdr:colOff>0</xdr:colOff>
      <xdr:row>22</xdr:row>
      <xdr:rowOff>34200</xdr:rowOff>
    </xdr:from>
    <xdr:to>
      <xdr:col>15</xdr:col>
      <xdr:colOff>744480</xdr:colOff>
      <xdr:row>26</xdr:row>
      <xdr:rowOff>58680</xdr:rowOff>
    </xdr:to>
    <xdr:sp>
      <xdr:nvSpPr>
        <xdr:cNvPr id="11" name="TB_PartSel_BC"/>
        <xdr:cNvSpPr/>
      </xdr:nvSpPr>
      <xdr:spPr>
        <a:xfrm>
          <a:off x="9232200" y="4552920"/>
          <a:ext cx="8637120" cy="71388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ts val="1199"/>
            </a:lnSpc>
          </a:pPr>
          <a:r>
            <a:rPr b="0" lang="ja-JP" sz="1000" strike="noStrike" u="none">
              <a:solidFill>
                <a:srgbClr val="ff0000"/>
              </a:solidFill>
              <a:uFillTx/>
              <a:latin typeface="Arial"/>
            </a:rPr>
            <a:t>注：如果在破碎岩石块上进行试验，应该尽可能选择最大筛分粒度范围，规定你们处理试样的最大粒度和有效数量。 </a:t>
          </a:r>
          <a:r>
            <a:rPr b="1" lang="ja-JP" sz="1000" strike="noStrike" u="none">
              <a:solidFill>
                <a:srgbClr val="0000ff"/>
              </a:solidFill>
              <a:uFillTx/>
              <a:latin typeface="Arial"/>
            </a:rPr>
            <a:t>如果您担心在所选的尺寸规格中没有足够的材料来产生</a:t>
          </a:r>
          <a:r>
            <a:rPr b="1" lang="en-US" sz="1000" strike="noStrike" u="none">
              <a:solidFill>
                <a:srgbClr val="0000ff"/>
              </a:solidFill>
              <a:uFillTx/>
              <a:latin typeface="Arial"/>
            </a:rPr>
            <a:t>100</a:t>
          </a:r>
          <a:r>
            <a:rPr b="1" lang="ja-JP" sz="1000" strike="noStrike" u="none">
              <a:solidFill>
                <a:srgbClr val="0000ff"/>
              </a:solidFill>
              <a:uFillTx/>
              <a:latin typeface="Arial"/>
            </a:rPr>
            <a:t>个颗粒</a:t>
          </a:r>
          <a:r>
            <a:rPr b="1" lang="en-US" sz="1000" strike="noStrike" u="none">
              <a:solidFill>
                <a:srgbClr val="0000ff"/>
              </a:solidFill>
              <a:uFillTx/>
              <a:latin typeface="Arial"/>
            </a:rPr>
            <a:t>,</a:t>
          </a:r>
          <a:r>
            <a:rPr b="1" lang="ja-JP" sz="1000" strike="noStrike" u="none">
              <a:solidFill>
                <a:srgbClr val="0000ff"/>
              </a:solidFill>
              <a:uFillTx/>
              <a:latin typeface="Arial"/>
            </a:rPr>
            <a:t>请选择下一个更小的规格尺寸。</a:t>
          </a:r>
          <a:endParaRPr b="0" lang="en-US" sz="1000" strike="noStrike" u="none">
            <a:uFillTx/>
            <a:latin typeface="Nimbus Roman"/>
          </a:endParaRPr>
        </a:p>
      </xdr:txBody>
    </xdr:sp>
    <xdr:clientData/>
  </xdr:twoCellAnchor>
  <xdr:twoCellAnchor editAs="twoCell">
    <xdr:from>
      <xdr:col>5</xdr:col>
      <xdr:colOff>0</xdr:colOff>
      <xdr:row>29</xdr:row>
      <xdr:rowOff>68760</xdr:rowOff>
    </xdr:from>
    <xdr:to>
      <xdr:col>16</xdr:col>
      <xdr:colOff>360</xdr:colOff>
      <xdr:row>44</xdr:row>
      <xdr:rowOff>14760</xdr:rowOff>
    </xdr:to>
    <xdr:sp>
      <xdr:nvSpPr>
        <xdr:cNvPr id="12" name="TB_Method_I"/>
        <xdr:cNvSpPr/>
      </xdr:nvSpPr>
      <xdr:spPr>
        <a:xfrm>
          <a:off x="9232200" y="5776200"/>
          <a:ext cx="8637840" cy="244152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ts val="1100"/>
            </a:lnSpc>
          </a:pPr>
          <a:r>
            <a:rPr b="1" lang="en-AU" sz="1000" strike="noStrike" u="none">
              <a:solidFill>
                <a:srgbClr val="000000"/>
              </a:solidFill>
              <a:uFillTx/>
              <a:latin typeface="Arial"/>
            </a:rPr>
            <a:t>Langkah 1:</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r>
            <a:rPr b="0" lang="en-AU" sz="1000" strike="noStrike" u="none">
              <a:solidFill>
                <a:srgbClr val="000000"/>
              </a:solidFill>
              <a:uFillTx/>
              <a:latin typeface="Arial"/>
            </a:rPr>
            <a:t>Ada 2 cara untuk uji SMC. Partikel bisa dalam bentuk quartered core yang dipotong potong atau batu yang di-crushing. Keduanya sama akurasinya. Jika sampel mencukupi lebih cepat menggunakan batu pecahan. Metoda Batu Pecah, perlu sekitar 20 kg, sedikit lebih banyak dibanding metoda </a:t>
          </a:r>
          <a:r>
            <a:rPr b="0" i="1" lang="en-AU" sz="1000" strike="noStrike" u="none">
              <a:solidFill>
                <a:srgbClr val="000000"/>
              </a:solidFill>
              <a:uFillTx/>
              <a:latin typeface="Arial"/>
            </a:rPr>
            <a:t>core</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r>
            <a:rPr b="0" lang="en-AU" sz="1000" strike="noStrike" u="none">
              <a:solidFill>
                <a:srgbClr val="000000"/>
              </a:solidFill>
              <a:uFillTx/>
              <a:latin typeface="Arial"/>
            </a:rPr>
            <a:t>Jika memilih batu pecah, pada "Jenis Uji yg dilaksanakan" pilih " Batu Pecah", lalu pilih ukuran pada " Pilih Ukuran Ayakan Yg Diinginkan".  Ukuran ideal adalah ukuran yang terbesar, misal -31.5 + 26.5). Ukuran lain yang disarankan adalah - 22.4 + 19 mm. Jika jumlah sampel sedikit dapat juga dipilih -16+13.2 mm, walau akurasinya lebih rendah.</a:t>
          </a: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5</xdr:col>
      <xdr:colOff>0</xdr:colOff>
      <xdr:row>1</xdr:row>
      <xdr:rowOff>15120</xdr:rowOff>
    </xdr:from>
    <xdr:to>
      <xdr:col>5</xdr:col>
      <xdr:colOff>849960</xdr:colOff>
      <xdr:row>7</xdr:row>
      <xdr:rowOff>15120</xdr:rowOff>
    </xdr:to>
    <xdr:sp>
      <xdr:nvSpPr>
        <xdr:cNvPr id="13" name="TB_Erase_I"/>
        <xdr:cNvSpPr/>
      </xdr:nvSpPr>
      <xdr:spPr>
        <a:xfrm>
          <a:off x="9232200" y="295200"/>
          <a:ext cx="849960" cy="1257120"/>
        </a:xfrm>
        <a:prstGeom prst="rect">
          <a:avLst/>
        </a:prstGeom>
        <a:solidFill>
          <a:srgbClr val="ffff00"/>
        </a:solidFill>
        <a:ln w="38100">
          <a:solidFill>
            <a:srgbClr val="339966"/>
          </a:solidFill>
          <a:miter/>
        </a:ln>
      </xdr:spPr>
      <xdr:style>
        <a:lnRef idx="0"/>
        <a:fillRef idx="0"/>
        <a:effectRef idx="0"/>
        <a:fontRef idx="minor"/>
      </xdr:style>
      <xdr:txBody>
        <a:bodyPr vertOverflow="clip" lIns="27360" rIns="27360" tIns="23040" bIns="23040" anchor="ctr" upright="1">
          <a:noAutofit/>
        </a:bodyPr>
        <a:p>
          <a:pPr algn="ctr">
            <a:lnSpc>
              <a:spcPts val="1100"/>
            </a:lnSpc>
          </a:pPr>
          <a:r>
            <a:rPr b="0" lang="id-ID" sz="1000" strike="noStrike" u="none">
              <a:uFillTx/>
              <a:latin typeface="Calibri"/>
            </a:rPr>
            <a:t>MENGHAPUS </a:t>
          </a:r>
          <a:r>
            <a:rPr b="0" lang="en-US" sz="1000" strike="noStrike" u="none">
              <a:uFillTx/>
              <a:latin typeface="Calibri"/>
            </a:rPr>
            <a:t>SEMUA</a:t>
          </a:r>
          <a:r>
            <a:rPr b="0" lang="id-ID" sz="1000" strike="noStrike" u="none">
              <a:uFillTx/>
              <a:latin typeface="Calibri"/>
            </a:rPr>
            <a:t> DATA ENTRY </a:t>
          </a:r>
          <a:endParaRPr b="0" lang="en-US" sz="1000" strike="noStrike" u="none">
            <a:uFillTx/>
            <a:latin typeface="Nimbus Roman"/>
          </a:endParaRPr>
        </a:p>
      </xdr:txBody>
    </xdr:sp>
    <xdr:clientData/>
  </xdr:twoCellAnchor>
  <xdr:twoCellAnchor editAs="twoCell">
    <xdr:from>
      <xdr:col>5</xdr:col>
      <xdr:colOff>885960</xdr:colOff>
      <xdr:row>15</xdr:row>
      <xdr:rowOff>16560</xdr:rowOff>
    </xdr:from>
    <xdr:to>
      <xdr:col>16</xdr:col>
      <xdr:colOff>360</xdr:colOff>
      <xdr:row>18</xdr:row>
      <xdr:rowOff>25920</xdr:rowOff>
    </xdr:to>
    <xdr:sp>
      <xdr:nvSpPr>
        <xdr:cNvPr id="14" name="TB_CheckList_I">
          <a:hlinkClick r:id="rId3"/>
        </xdr:cNvPr>
        <xdr:cNvSpPr/>
      </xdr:nvSpPr>
      <xdr:spPr>
        <a:xfrm>
          <a:off x="10118160" y="3249360"/>
          <a:ext cx="7751880" cy="523800"/>
        </a:xfrm>
        <a:prstGeom prst="rect">
          <a:avLst/>
        </a:prstGeom>
        <a:solidFill>
          <a:srgbClr val="ffff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en-AU" sz="1100" strike="noStrike" u="none">
              <a:solidFill>
                <a:schemeClr val="dk1"/>
              </a:solidFill>
              <a:uFillTx/>
              <a:latin typeface="Calibri"/>
            </a:rPr>
            <a:t>Tekan tombol ini untuk berpindah ke Prestart Check list</a:t>
          </a:r>
          <a:endParaRPr b="0" lang="en-US" sz="1100" strike="noStrike" u="none">
            <a:uFillTx/>
            <a:latin typeface="Nimbus Roman"/>
          </a:endParaRPr>
        </a:p>
        <a:p>
          <a:pPr>
            <a:lnSpc>
              <a:spcPct val="100000"/>
            </a:lnSpc>
          </a:pPr>
          <a:r>
            <a:rPr b="0" lang="en-AU" sz="1100" strike="noStrike" u="none">
              <a:solidFill>
                <a:schemeClr val="dk1"/>
              </a:solidFill>
              <a:uFillTx/>
              <a:latin typeface="Calibri"/>
            </a:rPr>
            <a:t>Cetak dan lengkapi sebelum mulai pengujian DW</a:t>
          </a:r>
          <a:endParaRPr b="0" lang="en-US" sz="1100" strike="noStrike" u="none">
            <a:uFillTx/>
            <a:latin typeface="Nimbus Roman"/>
          </a:endParaRPr>
        </a:p>
      </xdr:txBody>
    </xdr:sp>
    <xdr:clientData/>
  </xdr:twoCellAnchor>
  <xdr:twoCellAnchor editAs="twoCell">
    <xdr:from>
      <xdr:col>6</xdr:col>
      <xdr:colOff>2520</xdr:colOff>
      <xdr:row>18</xdr:row>
      <xdr:rowOff>152280</xdr:rowOff>
    </xdr:from>
    <xdr:to>
      <xdr:col>16</xdr:col>
      <xdr:colOff>9360</xdr:colOff>
      <xdr:row>21</xdr:row>
      <xdr:rowOff>33120</xdr:rowOff>
    </xdr:to>
    <xdr:sp>
      <xdr:nvSpPr>
        <xdr:cNvPr id="15" name="TB_Procedure_I">
          <a:hlinkClick r:id="rId4"/>
        </xdr:cNvPr>
        <xdr:cNvSpPr/>
      </xdr:nvSpPr>
      <xdr:spPr>
        <a:xfrm>
          <a:off x="10140840" y="3899520"/>
          <a:ext cx="7738200" cy="461880"/>
        </a:xfrm>
        <a:prstGeom prst="rect">
          <a:avLst/>
        </a:prstGeom>
        <a:solidFill>
          <a:srgbClr val="ffc0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en-AU" sz="1100" strike="noStrike" u="none">
              <a:solidFill>
                <a:schemeClr val="dk1"/>
              </a:solidFill>
              <a:uFillTx/>
              <a:latin typeface="Calibri"/>
            </a:rPr>
            <a:t>Tekan tombol jika ingin melihat prosedur SMC </a:t>
          </a:r>
          <a:endParaRPr b="0" lang="en-US" sz="1100" strike="noStrike" u="none">
            <a:uFillTx/>
            <a:latin typeface="Nimbus Roman"/>
          </a:endParaRPr>
        </a:p>
        <a:p>
          <a:pPr>
            <a:lnSpc>
              <a:spcPct val="100000"/>
            </a:lnSpc>
          </a:pPr>
          <a:r>
            <a:rPr b="0" lang="en-AU" sz="1100" strike="noStrike" u="none">
              <a:solidFill>
                <a:schemeClr val="dk1"/>
              </a:solidFill>
              <a:uFillTx/>
              <a:latin typeface="Calibri"/>
            </a:rPr>
            <a:t>Dapat diliat di internet</a:t>
          </a:r>
          <a:endParaRPr b="0" lang="en-US" sz="1100" strike="noStrike" u="none">
            <a:uFillTx/>
            <a:latin typeface="Nimbus Roman"/>
          </a:endParaRPr>
        </a:p>
      </xdr:txBody>
    </xdr:sp>
    <xdr:clientData/>
  </xdr:twoCellAnchor>
  <xdr:twoCellAnchor editAs="twoCell">
    <xdr:from>
      <xdr:col>5</xdr:col>
      <xdr:colOff>0</xdr:colOff>
      <xdr:row>22</xdr:row>
      <xdr:rowOff>35640</xdr:rowOff>
    </xdr:from>
    <xdr:to>
      <xdr:col>16</xdr:col>
      <xdr:colOff>360</xdr:colOff>
      <xdr:row>26</xdr:row>
      <xdr:rowOff>59400</xdr:rowOff>
    </xdr:to>
    <xdr:sp>
      <xdr:nvSpPr>
        <xdr:cNvPr id="16" name="TB_PartSel_BI"/>
        <xdr:cNvSpPr/>
      </xdr:nvSpPr>
      <xdr:spPr>
        <a:xfrm>
          <a:off x="9232200" y="4554360"/>
          <a:ext cx="8637840" cy="7131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en-AU" sz="1000" strike="noStrike" u="none">
              <a:solidFill>
                <a:srgbClr val="ff0000"/>
              </a:solidFill>
              <a:uFillTx/>
              <a:latin typeface="Arial"/>
            </a:rPr>
            <a:t>Note:  Jika menggunakan batu pecahan, pilih ukuran ayakan terbesar, sesuai dengan ukuran dan jumlah sampel. </a:t>
          </a:r>
          <a:r>
            <a:rPr b="1" lang="en-AU" sz="1000" strike="noStrike" u="none">
              <a:solidFill>
                <a:srgbClr val="0000ff"/>
              </a:solidFill>
              <a:uFillTx/>
              <a:latin typeface="Arial"/>
            </a:rPr>
            <a:t> </a:t>
          </a:r>
          <a:endParaRPr b="0" lang="en-US" sz="1000" strike="noStrike" u="none">
            <a:uFillTx/>
            <a:latin typeface="Nimbus Roman"/>
          </a:endParaRPr>
        </a:p>
        <a:p>
          <a:pPr>
            <a:lnSpc>
              <a:spcPct val="100000"/>
            </a:lnSpc>
          </a:pPr>
          <a:r>
            <a:rPr b="1" lang="en-AU" sz="1000" strike="noStrike" u="none">
              <a:solidFill>
                <a:srgbClr val="0000ff"/>
              </a:solidFill>
              <a:uFillTx/>
              <a:latin typeface="Arial"/>
            </a:rPr>
            <a:t>Jika ada kemungkinan jumlah sampel tidak sampai 100 butir, pilih ukuran yang lebih kecil</a:t>
          </a:r>
          <a:endParaRPr b="0" lang="en-US" sz="1000" strike="noStrike" u="none">
            <a:uFillTx/>
            <a:latin typeface="Nimbus Roman"/>
          </a:endParaRPr>
        </a:p>
      </xdr:txBody>
    </xdr:sp>
    <xdr:clientData/>
  </xdr:twoCellAnchor>
  <xdr:twoCellAnchor editAs="twoCell">
    <xdr:from>
      <xdr:col>5</xdr:col>
      <xdr:colOff>0</xdr:colOff>
      <xdr:row>29</xdr:row>
      <xdr:rowOff>74160</xdr:rowOff>
    </xdr:from>
    <xdr:to>
      <xdr:col>15</xdr:col>
      <xdr:colOff>744480</xdr:colOff>
      <xdr:row>44</xdr:row>
      <xdr:rowOff>7200</xdr:rowOff>
    </xdr:to>
    <xdr:sp>
      <xdr:nvSpPr>
        <xdr:cNvPr id="17" name="TB_Method_P"/>
        <xdr:cNvSpPr/>
      </xdr:nvSpPr>
      <xdr:spPr>
        <a:xfrm>
          <a:off x="9232200" y="5781600"/>
          <a:ext cx="86371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Passo 1:</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Existem duas formas que podem ser utilizadas para a geração das partículas para o teste de quebra. As partículas podem ser tanto pedaços cortados ou quartos de testemunhos quanto pedaços de pedra britada de rocha. Os dois métodos são considerados iguais em termos de precisão, assim, qualquer um que se use é uma questão de preferência. O método de britagem e seleção de partículas (crush and select) é, provavelmente, o mais rápido, então deve ser o método preferido  quando se tem abundância de material. Para usar esse método serão necessários aproximadamente 20 Kg de material, o que é em geral mais do que a quantidade requerida para o método do testemunho cortado (cut core), exceto quando se trata de diâmetros muito grandes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Quando se usa o método de britagem e seleção de partículas, é necessário escolher  em "Testes a serem Realizados:" queda em "Rocha Quebrada" e depois selecionar uma faixa granulométrica em "Selecione a faixa granulométrica a ser estipulada:" . A maior faixa granulométrica (-31.5+26.5 mm) é ideal se existe abundância de material disponível. Entretanto, os testes são realizados, muito comumente, com o material na faixa de -22.4+19 mm, e este tamanho também é bem aceito. Se a quantidade de amostra é limitada, você pode precisar selecionar uma faixa granulométrica mais fina (-16+13.2 mm). Embora os resultados sejam ainda aceitáveis, a precisão do teste pode não ser tão boa nessa faixa de tamanho, então isto deve ser usado somente em situações de última instância, quando não há material suficiente para realizar o teste em uma fração mais grossa. </a:t>
          </a:r>
          <a:endParaRPr b="0" lang="en-US" sz="1000" strike="noStrike" u="none">
            <a:uFillTx/>
            <a:latin typeface="Nimbus Roman"/>
          </a:endParaRPr>
        </a:p>
      </xdr:txBody>
    </xdr:sp>
    <xdr:clientData/>
  </xdr:twoCellAnchor>
  <xdr:twoCellAnchor editAs="twoCell">
    <xdr:from>
      <xdr:col>5</xdr:col>
      <xdr:colOff>6840</xdr:colOff>
      <xdr:row>1</xdr:row>
      <xdr:rowOff>15120</xdr:rowOff>
    </xdr:from>
    <xdr:to>
      <xdr:col>5</xdr:col>
      <xdr:colOff>855720</xdr:colOff>
      <xdr:row>7</xdr:row>
      <xdr:rowOff>15120</xdr:rowOff>
    </xdr:to>
    <xdr:sp>
      <xdr:nvSpPr>
        <xdr:cNvPr id="18" name="TB_Erase_P"/>
        <xdr:cNvSpPr/>
      </xdr:nvSpPr>
      <xdr:spPr>
        <a:xfrm>
          <a:off x="9239040" y="295200"/>
          <a:ext cx="848880" cy="1257120"/>
        </a:xfrm>
        <a:prstGeom prst="rect">
          <a:avLst/>
        </a:prstGeom>
        <a:solidFill>
          <a:srgbClr val="ffff00"/>
        </a:solidFill>
        <a:ln w="38100">
          <a:solidFill>
            <a:srgbClr val="339966"/>
          </a:solidFill>
          <a:miter/>
        </a:ln>
      </xdr:spPr>
      <xdr:style>
        <a:lnRef idx="0"/>
        <a:fillRef idx="0"/>
        <a:effectRef idx="0"/>
        <a:fontRef idx="minor"/>
      </xdr:style>
      <xdr:txBody>
        <a:bodyPr vertOverflow="clip" lIns="27360" rIns="27360" tIns="23040" bIns="23040" anchor="ctr" upright="1">
          <a:noAutofit/>
        </a:bodyPr>
        <a:p>
          <a:pPr algn="ctr">
            <a:lnSpc>
              <a:spcPts val="1100"/>
            </a:lnSpc>
          </a:pPr>
          <a:r>
            <a:rPr b="0" lang="en-AU" sz="1000" strike="noStrike" u="none">
              <a:solidFill>
                <a:srgbClr val="000000"/>
              </a:solidFill>
              <a:uFillTx/>
              <a:latin typeface="Arial"/>
            </a:rPr>
            <a:t>APAGAR TODOS OS DADOS DE ENTRADA</a:t>
          </a:r>
          <a:endParaRPr b="0" lang="en-US" sz="1000" strike="noStrike" u="none">
            <a:uFillTx/>
            <a:latin typeface="Nimbus Roman"/>
          </a:endParaRPr>
        </a:p>
      </xdr:txBody>
    </xdr:sp>
    <xdr:clientData/>
  </xdr:twoCellAnchor>
  <xdr:twoCellAnchor editAs="twoCell">
    <xdr:from>
      <xdr:col>6</xdr:col>
      <xdr:colOff>0</xdr:colOff>
      <xdr:row>15</xdr:row>
      <xdr:rowOff>15120</xdr:rowOff>
    </xdr:from>
    <xdr:to>
      <xdr:col>16</xdr:col>
      <xdr:colOff>720</xdr:colOff>
      <xdr:row>18</xdr:row>
      <xdr:rowOff>24480</xdr:rowOff>
    </xdr:to>
    <xdr:sp>
      <xdr:nvSpPr>
        <xdr:cNvPr id="19" name="TB_CheckList_P">
          <a:hlinkClick r:id="rId5"/>
        </xdr:cNvPr>
        <xdr:cNvSpPr/>
      </xdr:nvSpPr>
      <xdr:spPr>
        <a:xfrm>
          <a:off x="10138320" y="3247920"/>
          <a:ext cx="7732080" cy="523800"/>
        </a:xfrm>
        <a:prstGeom prst="rect">
          <a:avLst/>
        </a:prstGeom>
        <a:solidFill>
          <a:srgbClr val="ffff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en-AU" sz="1100" strike="noStrike" u="none">
              <a:solidFill>
                <a:schemeClr val="dk1"/>
              </a:solidFill>
              <a:uFillTx/>
              <a:latin typeface="Calibri"/>
            </a:rPr>
            <a:t>Estale sobre esta tecla para ir pre à lista de verificação do começo. </a:t>
          </a:r>
          <a:endParaRPr b="0" lang="en-US" sz="1100" strike="noStrike" u="none">
            <a:uFillTx/>
            <a:latin typeface="Nimbus Roman"/>
          </a:endParaRPr>
        </a:p>
        <a:p>
          <a:pPr>
            <a:lnSpc>
              <a:spcPct val="100000"/>
            </a:lnSpc>
          </a:pPr>
          <a:r>
            <a:rPr b="0" lang="en-AU" sz="1100" strike="noStrike" u="none">
              <a:solidFill>
                <a:schemeClr val="dk1"/>
              </a:solidFill>
              <a:uFillTx/>
              <a:latin typeface="Calibri"/>
            </a:rPr>
            <a:t>Imprima isto para fora e termine-o antes que você comece o gota-teste. </a:t>
          </a:r>
          <a:endParaRPr b="0" lang="en-US" sz="1100" strike="noStrike" u="none">
            <a:uFillTx/>
            <a:latin typeface="Nimbus Roman"/>
          </a:endParaRPr>
        </a:p>
      </xdr:txBody>
    </xdr:sp>
    <xdr:clientData/>
  </xdr:twoCellAnchor>
  <xdr:twoCellAnchor editAs="twoCell">
    <xdr:from>
      <xdr:col>5</xdr:col>
      <xdr:colOff>856440</xdr:colOff>
      <xdr:row>18</xdr:row>
      <xdr:rowOff>129600</xdr:rowOff>
    </xdr:from>
    <xdr:to>
      <xdr:col>15</xdr:col>
      <xdr:colOff>744480</xdr:colOff>
      <xdr:row>21</xdr:row>
      <xdr:rowOff>54000</xdr:rowOff>
    </xdr:to>
    <xdr:sp>
      <xdr:nvSpPr>
        <xdr:cNvPr id="20" name="TB_Procedure_P">
          <a:hlinkClick r:id="rId6"/>
        </xdr:cNvPr>
        <xdr:cNvSpPr/>
      </xdr:nvSpPr>
      <xdr:spPr>
        <a:xfrm>
          <a:off x="10088640" y="3876840"/>
          <a:ext cx="7780680" cy="505440"/>
        </a:xfrm>
        <a:prstGeom prst="rect">
          <a:avLst/>
        </a:prstGeom>
        <a:solidFill>
          <a:srgbClr val="ffc0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en-AU" sz="1100" strike="noStrike" u="none">
              <a:solidFill>
                <a:schemeClr val="dk1"/>
              </a:solidFill>
              <a:uFillTx/>
              <a:latin typeface="Calibri"/>
            </a:rPr>
            <a:t>Estale sobre esta tecla se você deseja ver o procedimento de teste cheio de SMC. </a:t>
          </a:r>
          <a:endParaRPr b="0" lang="en-US" sz="1100" strike="noStrike" u="none">
            <a:uFillTx/>
            <a:latin typeface="Nimbus Roman"/>
          </a:endParaRPr>
        </a:p>
        <a:p>
          <a:pPr>
            <a:lnSpc>
              <a:spcPct val="100000"/>
            </a:lnSpc>
          </a:pPr>
          <a:r>
            <a:rPr b="0" lang="en-AU" sz="1100" strike="noStrike" u="none">
              <a:solidFill>
                <a:schemeClr val="dk1"/>
              </a:solidFill>
              <a:uFillTx/>
              <a:latin typeface="Calibri"/>
            </a:rPr>
            <a:t>Isto está agora disponível através do Internet. </a:t>
          </a:r>
          <a:endParaRPr b="0" lang="en-US" sz="1100" strike="noStrike" u="none">
            <a:uFillTx/>
            <a:latin typeface="Nimbus Roman"/>
          </a:endParaRPr>
        </a:p>
      </xdr:txBody>
    </xdr:sp>
    <xdr:clientData/>
  </xdr:twoCellAnchor>
  <xdr:twoCellAnchor editAs="oneCell">
    <xdr:from>
      <xdr:col>5</xdr:col>
      <xdr:colOff>0</xdr:colOff>
      <xdr:row>22</xdr:row>
      <xdr:rowOff>34200</xdr:rowOff>
    </xdr:from>
    <xdr:to>
      <xdr:col>15</xdr:col>
      <xdr:colOff>744480</xdr:colOff>
      <xdr:row>26</xdr:row>
      <xdr:rowOff>58680</xdr:rowOff>
    </xdr:to>
    <xdr:sp>
      <xdr:nvSpPr>
        <xdr:cNvPr id="21" name="TB_PartSel_BP"/>
        <xdr:cNvSpPr/>
      </xdr:nvSpPr>
      <xdr:spPr>
        <a:xfrm>
          <a:off x="9232200" y="4552920"/>
          <a:ext cx="8637120" cy="71388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en-AU" sz="1000" strike="noStrike" u="none">
              <a:solidFill>
                <a:srgbClr val="ff0000"/>
              </a:solidFill>
              <a:uFillTx/>
              <a:latin typeface="Arial"/>
            </a:rPr>
            <a:t>Nota: Se o teste for conduzido com pedaços de rocha quebrada, a faixa granulométrica mais grossa possível deve ser escolhida  dado o top size e a quantidade de amostra disponível.  </a:t>
          </a:r>
          <a:r>
            <a:rPr b="1" lang="en-AU" sz="1000" strike="noStrike" u="none">
              <a:solidFill>
                <a:srgbClr val="0000ff"/>
              </a:solidFill>
              <a:uFillTx/>
              <a:latin typeface="Arial"/>
            </a:rPr>
            <a:t>Se você tem dúvidas sobre lá ser suficiente material para render 100 partículas do tamanho selecionado varia, a seguir você deve comutar a usar a escala mais baixa seguinte do tamanho.</a:t>
          </a:r>
          <a:endParaRPr b="0" lang="en-US" sz="1000" strike="noStrike" u="none">
            <a:uFillTx/>
            <a:latin typeface="Nimbus Roman"/>
          </a:endParaRPr>
        </a:p>
      </xdr:txBody>
    </xdr:sp>
    <xdr:clientData/>
  </xdr:twoCellAnchor>
  <xdr:twoCellAnchor editAs="twoCell">
    <xdr:from>
      <xdr:col>5</xdr:col>
      <xdr:colOff>0</xdr:colOff>
      <xdr:row>29</xdr:row>
      <xdr:rowOff>74160</xdr:rowOff>
    </xdr:from>
    <xdr:to>
      <xdr:col>15</xdr:col>
      <xdr:colOff>744480</xdr:colOff>
      <xdr:row>44</xdr:row>
      <xdr:rowOff>7200</xdr:rowOff>
    </xdr:to>
    <xdr:sp>
      <xdr:nvSpPr>
        <xdr:cNvPr id="22" name="TB_Method_S"/>
        <xdr:cNvSpPr/>
      </xdr:nvSpPr>
      <xdr:spPr>
        <a:xfrm>
          <a:off x="9232200" y="5781600"/>
          <a:ext cx="86371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ts val="1001"/>
            </a:lnSpc>
          </a:pPr>
          <a:r>
            <a:rPr b="1" lang="en-AU" sz="1000" strike="noStrike" u="none">
              <a:solidFill>
                <a:srgbClr val="000000"/>
              </a:solidFill>
              <a:uFillTx/>
              <a:latin typeface="Arial"/>
            </a:rPr>
            <a:t>Paso 1:</a:t>
          </a: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001"/>
            </a:lnSpc>
          </a:pPr>
          <a:r>
            <a:rPr b="0" lang="en-AU" sz="1000" strike="noStrike" u="none">
              <a:solidFill>
                <a:srgbClr val="000000"/>
              </a:solidFill>
              <a:uFillTx/>
              <a:latin typeface="Arial"/>
            </a:rPr>
            <a:t>Hay dos métodos que se pueden utilizar en el test SMC en la generación de partículas para el test de fractura. Las partículas pueden ser particulas cortados del testigo cuarteado o partículas chancadas de la roca o del testigo. Los dos métodos se consideran de igual presición, por lo tanto cual usar es una cuestión de preferencias. El método de chancado y selección de partículas es probablement más rápido, por lo que puede ser el método preferido cuanto se tienen muestras abundantes. para usar este método usted normalmente necesitará alrededor de 20 kg , lo que es generalmente más de lo requerido por el método de corte del testigo, excepto cuando se esta tratando con los testigos de diametros mayores.</a:t>
          </a: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001"/>
            </a:lnSpc>
          </a:pPr>
          <a:r>
            <a:rPr b="0" lang="en-AU" sz="1000" strike="noStrike" u="none">
              <a:solidFill>
                <a:srgbClr val="000000"/>
              </a:solidFill>
              <a:uFillTx/>
              <a:latin typeface="Arial"/>
            </a:rPr>
            <a:t>Cuando se esta usando el método de chancado y selección de partículas, usted debería seleccionar la opción "Roca Fracturada" de la lista desplegable "Test serán realizados con:", y luego seleccionar el rango de tamaños de la lista desplegable "Seleccione los rangos de tamaño objetivo:" El tamaño ideal, si es que hay una gran cantidad de muestra disponible es el mayor (esto es, -31.5+26.5mm). Sin embargo, el test es más comunmente llebado a cabo en material de -22.4+19mm, lo que también es aceptado. si la cantidad de muestra es muy limitada usted podría necesitar seleccionar el rango más fino de tamaños (-16+13.2mm). Aunque los resultados son aún aceptables, la preseción del test no será tan buena en este rango de tamaños, por lo que sólo debería ser usado como un último recurso cuando no haya suficiente muestra como para completar el test en una fracción de tamaño  más gruesa,</a:t>
          </a:r>
          <a:endParaRPr b="0" lang="en-US" sz="1000" strike="noStrike" u="none">
            <a:uFillTx/>
            <a:latin typeface="Nimbus Roman"/>
          </a:endParaRPr>
        </a:p>
        <a:p>
          <a:pPr>
            <a:lnSpc>
              <a:spcPts val="901"/>
            </a:lnSpc>
          </a:pPr>
          <a:endParaRPr b="0" lang="en-US" sz="1000" strike="noStrike" u="none">
            <a:uFillTx/>
            <a:latin typeface="Nimbus Roman"/>
          </a:endParaRPr>
        </a:p>
        <a:p>
          <a:pPr>
            <a:lnSpc>
              <a:spcPts val="901"/>
            </a:lnSpc>
          </a:pPr>
          <a:endParaRPr b="0" lang="en-US" sz="1000" strike="noStrike" u="none">
            <a:uFillTx/>
            <a:latin typeface="Nimbus Roman"/>
          </a:endParaRPr>
        </a:p>
        <a:p>
          <a:pPr>
            <a:lnSpc>
              <a:spcPts val="799"/>
            </a:lnSpc>
          </a:pPr>
          <a:endParaRPr b="0" lang="en-US" sz="1000" strike="noStrike" u="none">
            <a:uFillTx/>
            <a:latin typeface="Nimbus Roman"/>
          </a:endParaRPr>
        </a:p>
      </xdr:txBody>
    </xdr:sp>
    <xdr:clientData/>
  </xdr:twoCellAnchor>
  <xdr:twoCellAnchor editAs="twoCell">
    <xdr:from>
      <xdr:col>5</xdr:col>
      <xdr:colOff>6840</xdr:colOff>
      <xdr:row>1</xdr:row>
      <xdr:rowOff>15120</xdr:rowOff>
    </xdr:from>
    <xdr:to>
      <xdr:col>5</xdr:col>
      <xdr:colOff>855720</xdr:colOff>
      <xdr:row>7</xdr:row>
      <xdr:rowOff>15120</xdr:rowOff>
    </xdr:to>
    <xdr:sp>
      <xdr:nvSpPr>
        <xdr:cNvPr id="23" name="TB_Erase_S"/>
        <xdr:cNvSpPr/>
      </xdr:nvSpPr>
      <xdr:spPr>
        <a:xfrm>
          <a:off x="9239040" y="295200"/>
          <a:ext cx="848880" cy="1257120"/>
        </a:xfrm>
        <a:prstGeom prst="rect">
          <a:avLst/>
        </a:prstGeom>
        <a:solidFill>
          <a:srgbClr val="ffff00"/>
        </a:solidFill>
        <a:ln w="38100">
          <a:solidFill>
            <a:srgbClr val="339966"/>
          </a:solidFill>
          <a:miter/>
        </a:ln>
      </xdr:spPr>
      <xdr:style>
        <a:lnRef idx="0"/>
        <a:fillRef idx="0"/>
        <a:effectRef idx="0"/>
        <a:fontRef idx="minor"/>
      </xdr:style>
      <xdr:txBody>
        <a:bodyPr vertOverflow="clip" lIns="27360" rIns="27360" tIns="23040" bIns="23040" anchor="ctr" upright="1">
          <a:noAutofit/>
        </a:bodyPr>
        <a:p>
          <a:pPr algn="ctr">
            <a:lnSpc>
              <a:spcPct val="100000"/>
            </a:lnSpc>
          </a:pPr>
          <a:r>
            <a:rPr b="0" lang="en-AU" sz="1000" strike="noStrike" u="none">
              <a:solidFill>
                <a:srgbClr val="000000"/>
              </a:solidFill>
              <a:uFillTx/>
              <a:latin typeface="Arial"/>
            </a:rPr>
            <a:t>Borrar todos los campos de entrada de datos</a:t>
          </a:r>
          <a:endParaRPr b="0" lang="en-US" sz="1000" strike="noStrike" u="none">
            <a:uFillTx/>
            <a:latin typeface="Nimbus Roman"/>
          </a:endParaRPr>
        </a:p>
      </xdr:txBody>
    </xdr:sp>
    <xdr:clientData/>
  </xdr:twoCellAnchor>
  <xdr:twoCellAnchor editAs="twoCell">
    <xdr:from>
      <xdr:col>6</xdr:col>
      <xdr:colOff>0</xdr:colOff>
      <xdr:row>15</xdr:row>
      <xdr:rowOff>15120</xdr:rowOff>
    </xdr:from>
    <xdr:to>
      <xdr:col>15</xdr:col>
      <xdr:colOff>744480</xdr:colOff>
      <xdr:row>18</xdr:row>
      <xdr:rowOff>24480</xdr:rowOff>
    </xdr:to>
    <xdr:sp>
      <xdr:nvSpPr>
        <xdr:cNvPr id="24" name="TB_CheckList_S">
          <a:hlinkClick r:id="rId7"/>
        </xdr:cNvPr>
        <xdr:cNvSpPr/>
      </xdr:nvSpPr>
      <xdr:spPr>
        <a:xfrm>
          <a:off x="10138320" y="3247920"/>
          <a:ext cx="7731000" cy="523800"/>
        </a:xfrm>
        <a:prstGeom prst="rect">
          <a:avLst/>
        </a:prstGeom>
        <a:solidFill>
          <a:srgbClr val="ffff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defTabSz="914400">
            <a:lnSpc>
              <a:spcPct val="100000"/>
            </a:lnSpc>
            <a:tabLst>
              <a:tab algn="l" pos="0"/>
            </a:tabLst>
          </a:pPr>
          <a:r>
            <a:rPr b="0" lang="en-AU" sz="1100" strike="noStrike" u="none">
              <a:solidFill>
                <a:schemeClr val="dk1"/>
              </a:solidFill>
              <a:uFillTx/>
              <a:latin typeface="Calibri"/>
            </a:rPr>
            <a:t>Chasque encendido este botón para ir pre a la lista de cheque del comienzo.</a:t>
          </a:r>
          <a:endParaRPr b="0" lang="en-US" sz="1100" strike="noStrike" u="none">
            <a:uFillTx/>
            <a:latin typeface="Nimbus Roman"/>
          </a:endParaRPr>
        </a:p>
        <a:p>
          <a:pPr defTabSz="914400">
            <a:lnSpc>
              <a:spcPct val="100000"/>
            </a:lnSpc>
            <a:tabLst>
              <a:tab algn="l" pos="0"/>
            </a:tabLst>
          </a:pPr>
          <a:r>
            <a:rPr b="0" lang="en-AU" sz="1100" strike="noStrike" u="none">
              <a:solidFill>
                <a:schemeClr val="dk1"/>
              </a:solidFill>
              <a:uFillTx/>
              <a:latin typeface="Calibri"/>
            </a:rPr>
            <a:t>Imprima esto y termínelo antes de que usted comience la gota-prueba. </a:t>
          </a:r>
          <a:endParaRPr b="0" lang="en-US" sz="1100" strike="noStrike" u="none">
            <a:uFillTx/>
            <a:latin typeface="Nimbus Roman"/>
          </a:endParaRPr>
        </a:p>
      </xdr:txBody>
    </xdr:sp>
    <xdr:clientData/>
  </xdr:twoCellAnchor>
  <xdr:twoCellAnchor editAs="twoCell">
    <xdr:from>
      <xdr:col>5</xdr:col>
      <xdr:colOff>861120</xdr:colOff>
      <xdr:row>18</xdr:row>
      <xdr:rowOff>129600</xdr:rowOff>
    </xdr:from>
    <xdr:to>
      <xdr:col>16</xdr:col>
      <xdr:colOff>720</xdr:colOff>
      <xdr:row>21</xdr:row>
      <xdr:rowOff>54000</xdr:rowOff>
    </xdr:to>
    <xdr:sp>
      <xdr:nvSpPr>
        <xdr:cNvPr id="25" name="TB_Procedure_S">
          <a:hlinkClick r:id="rId8"/>
        </xdr:cNvPr>
        <xdr:cNvSpPr/>
      </xdr:nvSpPr>
      <xdr:spPr>
        <a:xfrm>
          <a:off x="10093320" y="3876840"/>
          <a:ext cx="7777080" cy="505440"/>
        </a:xfrm>
        <a:prstGeom prst="rect">
          <a:avLst/>
        </a:prstGeom>
        <a:solidFill>
          <a:srgbClr val="ffc0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en-AU" sz="1100" strike="noStrike" u="none">
              <a:solidFill>
                <a:schemeClr val="dk1"/>
              </a:solidFill>
              <a:uFillTx/>
              <a:latin typeface="Calibri"/>
            </a:rPr>
            <a:t>Chasque encendido este botón si usted desea ver el método de prueba completo de SMC. </a:t>
          </a:r>
          <a:endParaRPr b="0" lang="en-US" sz="1100" strike="noStrike" u="none">
            <a:uFillTx/>
            <a:latin typeface="Nimbus Roman"/>
          </a:endParaRPr>
        </a:p>
        <a:p>
          <a:pPr>
            <a:lnSpc>
              <a:spcPct val="100000"/>
            </a:lnSpc>
          </a:pPr>
          <a:r>
            <a:rPr b="0" lang="en-AU" sz="1100" strike="noStrike" u="none">
              <a:solidFill>
                <a:schemeClr val="dk1"/>
              </a:solidFill>
              <a:uFillTx/>
              <a:latin typeface="Calibri"/>
            </a:rPr>
            <a:t>Esto está disponible ahora vía el Internet. </a:t>
          </a:r>
          <a:endParaRPr b="0" lang="en-US" sz="1100" strike="noStrike" u="none">
            <a:uFillTx/>
            <a:latin typeface="Nimbus Roman"/>
          </a:endParaRPr>
        </a:p>
      </xdr:txBody>
    </xdr:sp>
    <xdr:clientData/>
  </xdr:twoCellAnchor>
  <xdr:twoCellAnchor editAs="twoCell">
    <xdr:from>
      <xdr:col>5</xdr:col>
      <xdr:colOff>0</xdr:colOff>
      <xdr:row>22</xdr:row>
      <xdr:rowOff>34200</xdr:rowOff>
    </xdr:from>
    <xdr:to>
      <xdr:col>15</xdr:col>
      <xdr:colOff>744480</xdr:colOff>
      <xdr:row>26</xdr:row>
      <xdr:rowOff>58680</xdr:rowOff>
    </xdr:to>
    <xdr:sp>
      <xdr:nvSpPr>
        <xdr:cNvPr id="26" name="TB_PartSel_BS"/>
        <xdr:cNvSpPr/>
      </xdr:nvSpPr>
      <xdr:spPr>
        <a:xfrm>
          <a:off x="9232200" y="4552920"/>
          <a:ext cx="8637120" cy="71388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en-AU" sz="1000" strike="noStrike" u="none">
              <a:solidFill>
                <a:srgbClr val="ff0000"/>
              </a:solidFill>
              <a:uFillTx/>
              <a:latin typeface="Arial"/>
            </a:rPr>
            <a:t>Nota: Si el test va ser realizado en partículas de roca fracturas, se debe seleccionar el rango mas grande mallas posible, dado el tamaño máximo de la muestra que usted está tratando y la cantidad disponible.  </a:t>
          </a:r>
          <a:r>
            <a:rPr b="1" lang="en-AU" sz="1000" strike="noStrike" u="none">
              <a:solidFill>
                <a:srgbClr val="0000ff"/>
              </a:solidFill>
              <a:uFillTx/>
              <a:latin typeface="Arial"/>
            </a:rPr>
            <a:t>Si usted tiene dudas sobre si hay suficiente material para producir 100 partículas del tamaño del rango seleccionado; entonces proceda a utilizar el siguiente rango de tamaño mas bajo.</a:t>
          </a:r>
          <a:endParaRPr b="0" lang="en-US" sz="1000" strike="noStrike" u="none">
            <a:uFillTx/>
            <a:latin typeface="Nimbus Roman"/>
          </a:endParaRPr>
        </a:p>
      </xdr:txBody>
    </xdr:sp>
    <xdr:clientData/>
  </xdr:twoCellAnchor>
  <xdr:twoCellAnchor editAs="twoCell">
    <xdr:from>
      <xdr:col>5</xdr:col>
      <xdr:colOff>0</xdr:colOff>
      <xdr:row>29</xdr:row>
      <xdr:rowOff>74160</xdr:rowOff>
    </xdr:from>
    <xdr:to>
      <xdr:col>15</xdr:col>
      <xdr:colOff>744480</xdr:colOff>
      <xdr:row>44</xdr:row>
      <xdr:rowOff>7200</xdr:rowOff>
    </xdr:to>
    <xdr:sp>
      <xdr:nvSpPr>
        <xdr:cNvPr id="27" name="TB_Method_E"/>
        <xdr:cNvSpPr/>
      </xdr:nvSpPr>
      <xdr:spPr>
        <a:xfrm>
          <a:off x="9232200" y="5781600"/>
          <a:ext cx="86371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Step 1:</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There are two methods that can be used in the SMC test to generate the particles for breakage testing.  The particles can either be cut pieces of quartered core or crushed pieces of either rock or core.  The two methods are considered to be of equal accuracy, so which one is used is a matter of preference.  The crush and particle select method is probably faster, so may be the preferred method when there is plenty of sample.  To use this method you normally need about 20 kg, which is generally more than required for the cut core method, except when you are dealing with the largest diameter cores.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When using the crush and particle select method, you should set the "Tests to be carried out on:" drop-down to "Broken Rock" and then select a size range from the "Select screen size to be targeted:" drop-down.  The ideal size range if there is plenty of material available is the largest (ie. -31.5+26.5 mm).  However, the test is most commonly carried out on  -22.4+19 mm material and this is quite acceptable also.  If sample quantity is very limited you may need to select the finest size range (-16+13.2 mm).  Although the results are still acceptable, the test accuracy will not be quite as good using this size range, so it should only be used as a last resort when there is not enough sample to complete the test on a coarser size fraction.</a:t>
          </a: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5</xdr:col>
      <xdr:colOff>6840</xdr:colOff>
      <xdr:row>1</xdr:row>
      <xdr:rowOff>15120</xdr:rowOff>
    </xdr:from>
    <xdr:to>
      <xdr:col>5</xdr:col>
      <xdr:colOff>855720</xdr:colOff>
      <xdr:row>7</xdr:row>
      <xdr:rowOff>15120</xdr:rowOff>
    </xdr:to>
    <xdr:sp>
      <xdr:nvSpPr>
        <xdr:cNvPr id="28" name="TB_Erase_E"/>
        <xdr:cNvSpPr/>
      </xdr:nvSpPr>
      <xdr:spPr>
        <a:xfrm>
          <a:off x="9239040" y="295200"/>
          <a:ext cx="848880" cy="1257120"/>
        </a:xfrm>
        <a:prstGeom prst="rect">
          <a:avLst/>
        </a:prstGeom>
        <a:solidFill>
          <a:srgbClr val="ffff00"/>
        </a:solidFill>
        <a:ln w="38100">
          <a:solidFill>
            <a:srgbClr val="339966"/>
          </a:solidFill>
          <a:miter/>
        </a:ln>
      </xdr:spPr>
      <xdr:style>
        <a:lnRef idx="0"/>
        <a:fillRef idx="0"/>
        <a:effectRef idx="0"/>
        <a:fontRef idx="minor"/>
      </xdr:style>
      <xdr:txBody>
        <a:bodyPr vertOverflow="clip" lIns="27360" rIns="27360" tIns="23040" bIns="23040" anchor="ctr" upright="1">
          <a:noAutofit/>
        </a:bodyPr>
        <a:p>
          <a:pPr algn="ctr">
            <a:lnSpc>
              <a:spcPct val="100000"/>
            </a:lnSpc>
          </a:pPr>
          <a:r>
            <a:rPr b="0" lang="en-AU" sz="1000" strike="noStrike" u="none">
              <a:solidFill>
                <a:srgbClr val="000000"/>
              </a:solidFill>
              <a:uFillTx/>
              <a:latin typeface="Arial"/>
            </a:rPr>
            <a:t>ERASE ALL DATA ENTRY FIELDS</a:t>
          </a:r>
          <a:endParaRPr b="0" lang="en-US" sz="1000" strike="noStrike" u="none">
            <a:uFillTx/>
            <a:latin typeface="Nimbus Roman"/>
          </a:endParaRPr>
        </a:p>
      </xdr:txBody>
    </xdr:sp>
    <xdr:clientData/>
  </xdr:twoCellAnchor>
  <xdr:twoCellAnchor editAs="twoCell">
    <xdr:from>
      <xdr:col>6</xdr:col>
      <xdr:colOff>0</xdr:colOff>
      <xdr:row>15</xdr:row>
      <xdr:rowOff>15120</xdr:rowOff>
    </xdr:from>
    <xdr:to>
      <xdr:col>16</xdr:col>
      <xdr:colOff>720</xdr:colOff>
      <xdr:row>18</xdr:row>
      <xdr:rowOff>24480</xdr:rowOff>
    </xdr:to>
    <xdr:sp>
      <xdr:nvSpPr>
        <xdr:cNvPr id="29" name="TB_CheckList_E">
          <a:hlinkClick r:id="rId9"/>
        </xdr:cNvPr>
        <xdr:cNvSpPr/>
      </xdr:nvSpPr>
      <xdr:spPr>
        <a:xfrm>
          <a:off x="10138320" y="3247920"/>
          <a:ext cx="7732080" cy="523800"/>
        </a:xfrm>
        <a:prstGeom prst="rect">
          <a:avLst/>
        </a:prstGeom>
        <a:solidFill>
          <a:srgbClr val="ffff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en-AU" sz="1100" strike="noStrike" u="none">
              <a:solidFill>
                <a:schemeClr val="dk1"/>
              </a:solidFill>
              <a:uFillTx/>
              <a:latin typeface="Calibri"/>
            </a:rPr>
            <a:t>Click on this button to go to the Pre Start Check List. </a:t>
          </a:r>
          <a:endParaRPr b="0" lang="en-US" sz="1100" strike="noStrike" u="none">
            <a:uFillTx/>
            <a:latin typeface="Nimbus Roman"/>
          </a:endParaRPr>
        </a:p>
        <a:p>
          <a:pPr>
            <a:lnSpc>
              <a:spcPct val="100000"/>
            </a:lnSpc>
          </a:pPr>
          <a:r>
            <a:rPr b="0" lang="en-AU" sz="1100" strike="noStrike" u="none">
              <a:solidFill>
                <a:schemeClr val="dk1"/>
              </a:solidFill>
              <a:uFillTx/>
              <a:latin typeface="Calibri"/>
            </a:rPr>
            <a:t>Print this out and complete it before you begin drop-testing.</a:t>
          </a:r>
          <a:endParaRPr b="0" lang="en-US" sz="1100" strike="noStrike" u="none">
            <a:uFillTx/>
            <a:latin typeface="Nimbus Roman"/>
          </a:endParaRPr>
        </a:p>
      </xdr:txBody>
    </xdr:sp>
    <xdr:clientData/>
  </xdr:twoCellAnchor>
  <xdr:twoCellAnchor editAs="twoCell">
    <xdr:from>
      <xdr:col>6</xdr:col>
      <xdr:colOff>0</xdr:colOff>
      <xdr:row>18</xdr:row>
      <xdr:rowOff>129600</xdr:rowOff>
    </xdr:from>
    <xdr:to>
      <xdr:col>15</xdr:col>
      <xdr:colOff>704160</xdr:colOff>
      <xdr:row>21</xdr:row>
      <xdr:rowOff>54000</xdr:rowOff>
    </xdr:to>
    <xdr:sp>
      <xdr:nvSpPr>
        <xdr:cNvPr id="30" name="TB_Procedure_E">
          <a:hlinkClick r:id="rId10"/>
        </xdr:cNvPr>
        <xdr:cNvSpPr/>
      </xdr:nvSpPr>
      <xdr:spPr>
        <a:xfrm>
          <a:off x="10138320" y="3876840"/>
          <a:ext cx="7690680" cy="505440"/>
        </a:xfrm>
        <a:prstGeom prst="rect">
          <a:avLst/>
        </a:prstGeom>
        <a:solidFill>
          <a:srgbClr val="ffc0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en-AU" sz="1100" strike="noStrike" u="none">
              <a:solidFill>
                <a:schemeClr val="dk1"/>
              </a:solidFill>
              <a:uFillTx/>
              <a:latin typeface="Calibri"/>
            </a:rPr>
            <a:t>Click on this button if you wish to see the full SMC test procedure. </a:t>
          </a:r>
          <a:endParaRPr b="0" lang="en-US" sz="1100" strike="noStrike" u="none">
            <a:uFillTx/>
            <a:latin typeface="Nimbus Roman"/>
          </a:endParaRPr>
        </a:p>
        <a:p>
          <a:pPr>
            <a:lnSpc>
              <a:spcPct val="100000"/>
            </a:lnSpc>
          </a:pPr>
          <a:r>
            <a:rPr b="0" lang="en-AU" sz="1100" strike="noStrike" u="none">
              <a:solidFill>
                <a:schemeClr val="dk1"/>
              </a:solidFill>
              <a:uFillTx/>
              <a:latin typeface="Calibri"/>
            </a:rPr>
            <a:t>This is now available via the internet.</a:t>
          </a:r>
          <a:endParaRPr b="0" lang="en-US" sz="1100" strike="noStrike" u="none">
            <a:uFillTx/>
            <a:latin typeface="Nimbus Roman"/>
          </a:endParaRPr>
        </a:p>
      </xdr:txBody>
    </xdr:sp>
    <xdr:clientData/>
  </xdr:twoCellAnchor>
  <xdr:twoCellAnchor editAs="twoCell">
    <xdr:from>
      <xdr:col>5</xdr:col>
      <xdr:colOff>0</xdr:colOff>
      <xdr:row>22</xdr:row>
      <xdr:rowOff>34200</xdr:rowOff>
    </xdr:from>
    <xdr:to>
      <xdr:col>15</xdr:col>
      <xdr:colOff>744480</xdr:colOff>
      <xdr:row>26</xdr:row>
      <xdr:rowOff>58680</xdr:rowOff>
    </xdr:to>
    <xdr:sp>
      <xdr:nvSpPr>
        <xdr:cNvPr id="31" name="TB_PartSel_BE"/>
        <xdr:cNvSpPr/>
      </xdr:nvSpPr>
      <xdr:spPr>
        <a:xfrm>
          <a:off x="9232200" y="4552920"/>
          <a:ext cx="8637120" cy="71388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0" lang="en-AU" sz="1000" strike="noStrike" u="none">
              <a:solidFill>
                <a:srgbClr val="ff0000"/>
              </a:solidFill>
              <a:uFillTx/>
              <a:latin typeface="Arial"/>
            </a:rPr>
            <a:t>Note:  If the test is to be carried out on broken rock pieces, the largest screen size range possible should be selected, given the top size of the sample you are dealing with and the quantity available. </a:t>
          </a:r>
          <a:r>
            <a:rPr b="1" lang="en-AU" sz="1000" strike="noStrike" u="none">
              <a:solidFill>
                <a:srgbClr val="0000ff"/>
              </a:solidFill>
              <a:uFillTx/>
              <a:latin typeface="Arial"/>
            </a:rPr>
            <a:t> If you have doubts about there being sufficient material to yield 100 particles from the selected size range, then you should switch to using the next lower size range.</a:t>
          </a:r>
          <a:endParaRPr b="0" lang="en-US" sz="1000" strike="noStrike" u="none">
            <a:uFillTx/>
            <a:latin typeface="Nimbus Roman"/>
          </a:endParaRPr>
        </a:p>
      </xdr:txBody>
    </xdr:sp>
    <xdr:clientData/>
  </xdr:twoCellAnchor>
  <xdr:twoCellAnchor editAs="twoCell">
    <xdr:from>
      <xdr:col>5</xdr:col>
      <xdr:colOff>0</xdr:colOff>
      <xdr:row>29</xdr:row>
      <xdr:rowOff>74160</xdr:rowOff>
    </xdr:from>
    <xdr:to>
      <xdr:col>15</xdr:col>
      <xdr:colOff>744480</xdr:colOff>
      <xdr:row>44</xdr:row>
      <xdr:rowOff>7200</xdr:rowOff>
    </xdr:to>
    <xdr:sp>
      <xdr:nvSpPr>
        <xdr:cNvPr id="32" name="TB_Method_R"/>
        <xdr:cNvSpPr/>
      </xdr:nvSpPr>
      <xdr:spPr>
        <a:xfrm>
          <a:off x="9232200" y="5781600"/>
          <a:ext cx="86371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ru-RU" sz="1000" strike="noStrike" u="none">
              <a:uFillTx/>
              <a:latin typeface="Nimbus Roman"/>
            </a:rPr>
            <a:t>Шаг 1:</a:t>
          </a:r>
          <a:br/>
          <a:br/>
          <a:r>
            <a:rPr b="0" lang="ru-RU" sz="1000" strike="noStrike" u="none">
              <a:uFillTx/>
              <a:latin typeface="Nimbus Roman"/>
            </a:rPr>
            <a:t>Есть два метода, которые могут быть использованы в тесте </a:t>
          </a:r>
          <a:r>
            <a:rPr b="0" lang="en-AU" sz="1000" strike="noStrike" u="none">
              <a:uFillTx/>
              <a:latin typeface="Nimbus Roman"/>
            </a:rPr>
            <a:t>SMC </a:t>
          </a:r>
          <a:r>
            <a:rPr b="0" lang="ru-RU" sz="1000" strike="noStrike" u="none">
              <a:uFillTx/>
              <a:latin typeface="Nimbus Roman"/>
            </a:rPr>
            <a:t>для генерации частиц при поломке тестирования. Частицы могут быть либо нарезанные кусочками четвертинки ядра или измельченные части любого рок или ядра. Эти два метода считается равной точности, поэтому котором используется это вопрос предпочтений.Давка и частиц выберите метод, вероятно, быстрее, поэтому может быть предпочтительным методом, когда есть много образцов. Чтобы использовать этот метод обычно необходимо около 20 кг, что, как правило, больше, чем требуется для метода основной разрез, кроме случаев, когда вы имеете дело с самым большим диаметром ядра.</a:t>
          </a:r>
          <a:br/>
          <a:br/>
          <a:r>
            <a:rPr b="0" lang="ru-RU" sz="1000" strike="noStrike" u="none">
              <a:uFillTx/>
              <a:latin typeface="Nimbus Roman"/>
            </a:rPr>
            <a:t>При использовании давка и частиц выберите метод, вы должны установить "Испытания должны быть проведены на тему:" выпадающие на "</a:t>
          </a:r>
          <a:r>
            <a:rPr b="0" lang="en-AU" sz="1000" strike="noStrike" u="none">
              <a:uFillTx/>
              <a:latin typeface="Nimbus Roman"/>
            </a:rPr>
            <a:t>Broken Rock", </a:t>
          </a:r>
          <a:r>
            <a:rPr b="0" lang="ru-RU" sz="1000" strike="noStrike" u="none">
              <a:uFillTx/>
              <a:latin typeface="Nimbus Roman"/>
            </a:rPr>
            <a:t>а затем выберите размер в диапазоне от "Выбор размера экрана, чтобы быть направлены:" в раскрывающемся .Идеальный диапазон размеров, если есть много материалов, доступных является самым крупным (т.е. -31,5 26,5 мм). Тем не менее, тест чаще всего осуществляется на -22,4 +19 мм материал, и это вполне приемлемо тоже. Если образец количество очень ограничено вам может понадобиться, чтобы выбрать лучший размер диапазона (-16 13,2 мм). Хотя результаты все еще приемлемым, тест точности не будет так хорошо, использование такого размера, поэтому следует использовать только в крайнем случае, когда нет достаточного количества образцов для завершения теста на грубые размера фракции.</a:t>
          </a: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5</xdr:col>
      <xdr:colOff>6840</xdr:colOff>
      <xdr:row>1</xdr:row>
      <xdr:rowOff>15120</xdr:rowOff>
    </xdr:from>
    <xdr:to>
      <xdr:col>5</xdr:col>
      <xdr:colOff>855720</xdr:colOff>
      <xdr:row>7</xdr:row>
      <xdr:rowOff>15120</xdr:rowOff>
    </xdr:to>
    <xdr:sp>
      <xdr:nvSpPr>
        <xdr:cNvPr id="33" name="TB_Erase_R"/>
        <xdr:cNvSpPr/>
      </xdr:nvSpPr>
      <xdr:spPr>
        <a:xfrm>
          <a:off x="9239040" y="295200"/>
          <a:ext cx="848880" cy="1257120"/>
        </a:xfrm>
        <a:prstGeom prst="rect">
          <a:avLst/>
        </a:prstGeom>
        <a:solidFill>
          <a:srgbClr val="ffff00"/>
        </a:solidFill>
        <a:ln w="38100">
          <a:solidFill>
            <a:srgbClr val="339966"/>
          </a:solidFill>
          <a:miter/>
        </a:ln>
      </xdr:spPr>
      <xdr:style>
        <a:lnRef idx="0"/>
        <a:fillRef idx="0"/>
        <a:effectRef idx="0"/>
        <a:fontRef idx="minor"/>
      </xdr:style>
      <xdr:txBody>
        <a:bodyPr vertOverflow="clip" lIns="27360" rIns="27360" tIns="23040" bIns="23040" anchor="ctr" upright="1">
          <a:noAutofit/>
        </a:bodyPr>
        <a:p>
          <a:pPr algn="ctr">
            <a:lnSpc>
              <a:spcPct val="100000"/>
            </a:lnSpc>
          </a:pPr>
          <a:r>
            <a:rPr b="0" lang="az-Cyrl-AZ" sz="1000" strike="noStrike" u="none">
              <a:solidFill>
                <a:srgbClr val="000000"/>
              </a:solidFill>
              <a:uFillTx/>
              <a:latin typeface="Arial"/>
            </a:rPr>
            <a:t>Сотрите все поля ввода данных</a:t>
          </a:r>
          <a:endParaRPr b="0" lang="en-US" sz="1000" strike="noStrike" u="none">
            <a:uFillTx/>
            <a:latin typeface="Nimbus Roman"/>
          </a:endParaRPr>
        </a:p>
      </xdr:txBody>
    </xdr:sp>
    <xdr:clientData/>
  </xdr:twoCellAnchor>
  <xdr:twoCellAnchor editAs="twoCell">
    <xdr:from>
      <xdr:col>6</xdr:col>
      <xdr:colOff>0</xdr:colOff>
      <xdr:row>15</xdr:row>
      <xdr:rowOff>15120</xdr:rowOff>
    </xdr:from>
    <xdr:to>
      <xdr:col>16</xdr:col>
      <xdr:colOff>720</xdr:colOff>
      <xdr:row>18</xdr:row>
      <xdr:rowOff>24480</xdr:rowOff>
    </xdr:to>
    <xdr:sp>
      <xdr:nvSpPr>
        <xdr:cNvPr id="34" name="TB_CheckList_R">
          <a:hlinkClick r:id="rId11"/>
        </xdr:cNvPr>
        <xdr:cNvSpPr/>
      </xdr:nvSpPr>
      <xdr:spPr>
        <a:xfrm>
          <a:off x="10138320" y="3247920"/>
          <a:ext cx="7732080" cy="523800"/>
        </a:xfrm>
        <a:prstGeom prst="rect">
          <a:avLst/>
        </a:prstGeom>
        <a:solidFill>
          <a:srgbClr val="ffff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az-Cyrl-AZ" sz="1100" strike="noStrike" u="none">
              <a:solidFill>
                <a:schemeClr val="dk1"/>
              </a:solidFill>
              <a:uFillTx/>
              <a:latin typeface="Calibri"/>
            </a:rPr>
            <a:t>Щелкните дальше эту кнопку для того чтобы пойти к </a:t>
          </a:r>
          <a:r>
            <a:rPr b="0" lang="en-AU" sz="1100" strike="noStrike" u="none">
              <a:solidFill>
                <a:schemeClr val="dk1"/>
              </a:solidFill>
              <a:uFillTx/>
              <a:latin typeface="Calibri"/>
            </a:rPr>
            <a:t>Pre </a:t>
          </a:r>
          <a:r>
            <a:rPr b="0" lang="az-Cyrl-AZ" sz="1100" strike="noStrike" u="none">
              <a:solidFill>
                <a:schemeClr val="dk1"/>
              </a:solidFill>
              <a:uFillTx/>
              <a:latin typeface="Calibri"/>
            </a:rPr>
            <a:t>контрольному списку старта. </a:t>
          </a:r>
          <a:endParaRPr b="0" lang="en-US" sz="1100" strike="noStrike" u="none">
            <a:uFillTx/>
            <a:latin typeface="Nimbus Roman"/>
          </a:endParaRPr>
        </a:p>
        <a:p>
          <a:pPr>
            <a:lnSpc>
              <a:spcPct val="100000"/>
            </a:lnSpc>
          </a:pPr>
          <a:r>
            <a:rPr b="0" lang="az-Cyrl-AZ" sz="1100" strike="noStrike" u="none">
              <a:solidFill>
                <a:schemeClr val="dk1"/>
              </a:solidFill>
              <a:uFillTx/>
              <a:latin typeface="Calibri"/>
            </a:rPr>
            <a:t>Напечатайте это вне и завершите его прежде чем вы начинаете падени-испытание.</a:t>
          </a:r>
          <a:endParaRPr b="0" lang="en-US" sz="1100" strike="noStrike" u="none">
            <a:uFillTx/>
            <a:latin typeface="Nimbus Roman"/>
          </a:endParaRPr>
        </a:p>
      </xdr:txBody>
    </xdr:sp>
    <xdr:clientData/>
  </xdr:twoCellAnchor>
  <xdr:twoCellAnchor editAs="twoCell">
    <xdr:from>
      <xdr:col>5</xdr:col>
      <xdr:colOff>856440</xdr:colOff>
      <xdr:row>18</xdr:row>
      <xdr:rowOff>129600</xdr:rowOff>
    </xdr:from>
    <xdr:to>
      <xdr:col>15</xdr:col>
      <xdr:colOff>744480</xdr:colOff>
      <xdr:row>21</xdr:row>
      <xdr:rowOff>54000</xdr:rowOff>
    </xdr:to>
    <xdr:sp>
      <xdr:nvSpPr>
        <xdr:cNvPr id="35" name="TB_Procedure_R">
          <a:hlinkClick r:id="rId12"/>
        </xdr:cNvPr>
        <xdr:cNvSpPr/>
      </xdr:nvSpPr>
      <xdr:spPr>
        <a:xfrm>
          <a:off x="10088640" y="3876840"/>
          <a:ext cx="7780680" cy="505440"/>
        </a:xfrm>
        <a:prstGeom prst="rect">
          <a:avLst/>
        </a:prstGeom>
        <a:solidFill>
          <a:srgbClr val="ffc000"/>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az-Cyrl-AZ" sz="1100" strike="noStrike" u="none">
              <a:solidFill>
                <a:schemeClr val="dk1"/>
              </a:solidFill>
              <a:uFillTx/>
              <a:latin typeface="Calibri"/>
            </a:rPr>
            <a:t>Щелкните дальше эту кнопку если вы желаете увидеть полную методику проверки </a:t>
          </a:r>
          <a:r>
            <a:rPr b="0" lang="en-AU" sz="1100" strike="noStrike" u="none">
              <a:solidFill>
                <a:schemeClr val="dk1"/>
              </a:solidFill>
              <a:uFillTx/>
              <a:latin typeface="Calibri"/>
            </a:rPr>
            <a:t>SMC. </a:t>
          </a:r>
          <a:endParaRPr b="0" lang="en-US" sz="1100" strike="noStrike" u="none">
            <a:uFillTx/>
            <a:latin typeface="Nimbus Roman"/>
          </a:endParaRPr>
        </a:p>
        <a:p>
          <a:pPr>
            <a:lnSpc>
              <a:spcPct val="100000"/>
            </a:lnSpc>
          </a:pPr>
          <a:r>
            <a:rPr b="0" lang="az-Cyrl-AZ" sz="1100" strike="noStrike" u="none">
              <a:solidFill>
                <a:schemeClr val="dk1"/>
              </a:solidFill>
              <a:uFillTx/>
              <a:latin typeface="Calibri"/>
            </a:rPr>
            <a:t>Это теперь имеющееся через интернет. </a:t>
          </a:r>
          <a:endParaRPr b="0" lang="en-US" sz="1100" strike="noStrike" u="none">
            <a:uFillTx/>
            <a:latin typeface="Nimbus Roman"/>
          </a:endParaRPr>
        </a:p>
      </xdr:txBody>
    </xdr:sp>
    <xdr:clientData/>
  </xdr:twoCellAnchor>
  <xdr:twoCellAnchor editAs="twoCell">
    <xdr:from>
      <xdr:col>5</xdr:col>
      <xdr:colOff>2520</xdr:colOff>
      <xdr:row>22</xdr:row>
      <xdr:rowOff>36720</xdr:rowOff>
    </xdr:from>
    <xdr:to>
      <xdr:col>16</xdr:col>
      <xdr:colOff>2160</xdr:colOff>
      <xdr:row>26</xdr:row>
      <xdr:rowOff>62280</xdr:rowOff>
    </xdr:to>
    <xdr:sp>
      <xdr:nvSpPr>
        <xdr:cNvPr id="36" name="TB_PartSel_BR"/>
        <xdr:cNvSpPr/>
      </xdr:nvSpPr>
      <xdr:spPr>
        <a:xfrm>
          <a:off x="9234720" y="4555440"/>
          <a:ext cx="8637120" cy="7149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defTabSz="914400">
            <a:lnSpc>
              <a:spcPct val="100000"/>
            </a:lnSpc>
            <a:tabLst>
              <a:tab algn="l" pos="0"/>
            </a:tabLst>
          </a:pPr>
          <a:r>
            <a:rPr b="0" lang="az-Cyrl-AZ" sz="1000" strike="noStrike" u="none">
              <a:solidFill>
                <a:srgbClr val="ff0000"/>
              </a:solidFill>
              <a:uFillTx/>
              <a:latin typeface="Arial"/>
            </a:rPr>
            <a:t>Примечание: Если тест будет проводиться на осколки породы, самый большой набор возможных размеров экрана должна быть выбрана с учетом верхнего размера выборки вы имеете дело с, а количество доступных.</a:t>
          </a:r>
          <a:r>
            <a:rPr b="1" lang="en-AU" sz="1000" strike="noStrike" u="none">
              <a:solidFill>
                <a:srgbClr val="0000ff"/>
              </a:solidFill>
              <a:uFillTx/>
              <a:latin typeface="Arial"/>
            </a:rPr>
            <a:t>I  </a:t>
          </a:r>
          <a:r>
            <a:rPr b="1" lang="az-Cyrl-AZ" sz="1000" strike="noStrike" u="none">
              <a:solidFill>
                <a:srgbClr val="0000ff"/>
              </a:solidFill>
              <a:uFillTx/>
              <a:latin typeface="Arial"/>
            </a:rPr>
            <a:t>Если у вас есть сомнения относительно наличия достаточного материала для получения 100 частиц из выбранного диапазона размеров, то вы должны перейти на использование следующего более низкого диапазона размеров.</a:t>
          </a:r>
          <a:endParaRPr b="0" lang="en-US" sz="1000" strike="noStrike" u="none">
            <a:uFillTx/>
            <a:latin typeface="Nimbus Roman"/>
          </a:endParaRPr>
        </a:p>
      </xdr:txBody>
    </xdr:sp>
    <xdr:clientData/>
  </xdr:twoCellAnchor>
  <xdr:twoCellAnchor editAs="twoCell">
    <xdr:from>
      <xdr:col>5</xdr:col>
      <xdr:colOff>0</xdr:colOff>
      <xdr:row>22</xdr:row>
      <xdr:rowOff>34200</xdr:rowOff>
    </xdr:from>
    <xdr:to>
      <xdr:col>15</xdr:col>
      <xdr:colOff>744480</xdr:colOff>
      <xdr:row>26</xdr:row>
      <xdr:rowOff>58680</xdr:rowOff>
    </xdr:to>
    <xdr:sp>
      <xdr:nvSpPr>
        <xdr:cNvPr id="37" name="TB_PartSel_N"/>
        <xdr:cNvSpPr/>
      </xdr:nvSpPr>
      <xdr:spPr>
        <a:xfrm>
          <a:off x="9232200" y="4552920"/>
          <a:ext cx="8637120" cy="713880"/>
        </a:xfrm>
        <a:prstGeom prst="rect">
          <a:avLst/>
        </a:prstGeom>
        <a:solidFill>
          <a:srgbClr val="ffffff"/>
        </a:solidFill>
        <a:ln w="9525">
          <a:solidFill>
            <a:srgbClr val="000000"/>
          </a:solidFill>
          <a:miter/>
        </a:ln>
      </xdr:spPr>
      <xdr:style>
        <a:lnRef idx="0"/>
        <a:fillRef idx="0"/>
        <a:effectRef idx="0"/>
        <a:fontRef idx="minor"/>
      </xdr:style>
    </xdr:sp>
    <xdr:clientData/>
  </xdr:twoCellAnchor>
  <xdr:twoCellAnchor editAs="twoCell">
    <xdr:from>
      <xdr:col>5</xdr:col>
      <xdr:colOff>0</xdr:colOff>
      <xdr:row>26</xdr:row>
      <xdr:rowOff>116280</xdr:rowOff>
    </xdr:from>
    <xdr:to>
      <xdr:col>15</xdr:col>
      <xdr:colOff>744480</xdr:colOff>
      <xdr:row>29</xdr:row>
      <xdr:rowOff>131040</xdr:rowOff>
    </xdr:to>
    <xdr:sp>
      <xdr:nvSpPr>
        <xdr:cNvPr id="38" name="TB_CorDia_B"/>
        <xdr:cNvSpPr/>
      </xdr:nvSpPr>
      <xdr:spPr>
        <a:xfrm>
          <a:off x="9232200" y="5324400"/>
          <a:ext cx="8637120" cy="514080"/>
        </a:xfrm>
        <a:prstGeom prst="rect">
          <a:avLst/>
        </a:prstGeom>
        <a:solidFill>
          <a:srgbClr val="ffffff"/>
        </a:solidFill>
        <a:ln w="9525">
          <a:solidFill>
            <a:srgbClr val="000000"/>
          </a:solidFill>
          <a:miter/>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0</xdr:colOff>
      <xdr:row>26</xdr:row>
      <xdr:rowOff>44640</xdr:rowOff>
    </xdr:from>
    <xdr:to>
      <xdr:col>7</xdr:col>
      <xdr:colOff>2114280</xdr:colOff>
      <xdr:row>41</xdr:row>
      <xdr:rowOff>44280</xdr:rowOff>
    </xdr:to>
    <xdr:sp>
      <xdr:nvSpPr>
        <xdr:cNvPr id="39" name="TB_SG_C"/>
        <xdr:cNvSpPr/>
      </xdr:nvSpPr>
      <xdr:spPr>
        <a:xfrm>
          <a:off x="0" y="4486320"/>
          <a:ext cx="129175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ts val="1199"/>
            </a:lnSpc>
          </a:pPr>
          <a:r>
            <a:rPr b="1" lang="ja-JP" sz="1000" strike="noStrike" u="none">
              <a:solidFill>
                <a:srgbClr val="000000"/>
              </a:solidFill>
              <a:uFillTx/>
              <a:latin typeface="Arial"/>
            </a:rPr>
            <a:t>第</a:t>
          </a:r>
          <a:r>
            <a:rPr b="1" lang="en-US" sz="1000" strike="noStrike" u="none">
              <a:solidFill>
                <a:srgbClr val="000000"/>
              </a:solidFill>
              <a:uFillTx/>
              <a:latin typeface="Arial"/>
            </a:rPr>
            <a:t>2</a:t>
          </a:r>
          <a:r>
            <a:rPr b="1" lang="ja-JP" sz="1000" strike="noStrike" u="none">
              <a:solidFill>
                <a:srgbClr val="000000"/>
              </a:solidFill>
              <a:uFillTx/>
              <a:latin typeface="Arial"/>
            </a:rPr>
            <a:t>步：</a:t>
          </a:r>
          <a:endParaRPr b="0" lang="en-US" sz="1000" strike="noStrike" u="none">
            <a:uFillTx/>
            <a:latin typeface="Nimbus Roman"/>
          </a:endParaRPr>
        </a:p>
        <a:p>
          <a:pPr>
            <a:lnSpc>
              <a:spcPts val="1001"/>
            </a:lnSpc>
          </a:pPr>
          <a:r>
            <a:rPr b="0" lang="en-US" sz="1000" strike="noStrike" u="none">
              <a:solidFill>
                <a:srgbClr val="000000"/>
              </a:solidFill>
              <a:uFillTx/>
              <a:latin typeface="Arial"/>
            </a:rPr>
            <a:t>    </a:t>
          </a:r>
          <a:endParaRPr b="0" lang="en-US" sz="1000" strike="noStrike" u="none">
            <a:uFillTx/>
            <a:latin typeface="Nimbus Roman"/>
          </a:endParaRPr>
        </a:p>
        <a:p>
          <a:pPr>
            <a:lnSpc>
              <a:spcPts val="1599"/>
            </a:lnSpc>
          </a:pPr>
          <a:r>
            <a:rPr b="0" lang="en-US" sz="1000" strike="noStrike" u="none">
              <a:solidFill>
                <a:srgbClr val="000000"/>
              </a:solidFill>
              <a:uFillTx/>
              <a:latin typeface="Arial"/>
            </a:rPr>
            <a:t>   </a:t>
          </a:r>
          <a:r>
            <a:rPr b="0" lang="ja-JP" sz="1000" strike="noStrike" u="none">
              <a:solidFill>
                <a:srgbClr val="000000"/>
              </a:solidFill>
              <a:uFillTx/>
              <a:latin typeface="Arial"/>
            </a:rPr>
            <a:t>在采用切割岩芯法制样时，首先应确定切割长度，再进行切割，然后对每</a:t>
          </a:r>
          <a:r>
            <a:rPr b="0" lang="en-US" sz="1000" strike="noStrike" u="none">
              <a:solidFill>
                <a:srgbClr val="000000"/>
              </a:solidFill>
              <a:uFillTx/>
              <a:latin typeface="Arial"/>
            </a:rPr>
            <a:t>1/4</a:t>
          </a:r>
          <a:r>
            <a:rPr b="0" lang="ja-JP" sz="1000" strike="noStrike" u="none">
              <a:solidFill>
                <a:srgbClr val="000000"/>
              </a:solidFill>
              <a:uFillTx/>
              <a:latin typeface="Arial"/>
            </a:rPr>
            <a:t>岩芯块进行称重。在纵向切割前，将岩芯两端面打磨平整，切割完成后，再将切割块两端面处理平整。对最大的</a:t>
          </a:r>
          <a:r>
            <a:rPr b="0" lang="en-US" sz="1000" strike="noStrike" u="none">
              <a:solidFill>
                <a:srgbClr val="000000"/>
              </a:solidFill>
              <a:uFillTx/>
              <a:latin typeface="Arial"/>
            </a:rPr>
            <a:t>10</a:t>
          </a:r>
          <a:r>
            <a:rPr b="0" lang="ja-JP" sz="1000" strike="noStrike" u="none">
              <a:solidFill>
                <a:srgbClr val="000000"/>
              </a:solidFill>
              <a:uFillTx/>
              <a:latin typeface="Arial"/>
            </a:rPr>
            <a:t>块</a:t>
          </a:r>
          <a:r>
            <a:rPr b="0" lang="en-US" sz="1000" strike="noStrike" u="none">
              <a:solidFill>
                <a:srgbClr val="000000"/>
              </a:solidFill>
              <a:uFillTx/>
              <a:latin typeface="Arial"/>
            </a:rPr>
            <a:t>1/4</a:t>
          </a:r>
          <a:r>
            <a:rPr b="0" lang="ja-JP" sz="1000" strike="noStrike" u="none">
              <a:solidFill>
                <a:srgbClr val="000000"/>
              </a:solidFill>
              <a:uFillTx/>
              <a:latin typeface="Arial"/>
            </a:rPr>
            <a:t>岩芯分别在空气中、水中称重。这两个重量数据是用来计算矿石的比重。</a:t>
          </a: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599"/>
            </a:lnSpc>
          </a:pPr>
          <a:r>
            <a:rPr b="0" lang="en-US" sz="1000" strike="noStrike" u="none">
              <a:solidFill>
                <a:srgbClr val="000000"/>
              </a:solidFill>
              <a:uFillTx/>
              <a:latin typeface="Arial"/>
            </a:rPr>
            <a:t>    </a:t>
          </a:r>
          <a:r>
            <a:rPr b="0" lang="ja-JP" sz="1000" strike="noStrike" u="none">
              <a:solidFill>
                <a:srgbClr val="000000"/>
              </a:solidFill>
              <a:uFillTx/>
              <a:latin typeface="Arial"/>
            </a:rPr>
            <a:t>以自然成对（或</a:t>
          </a:r>
          <a:r>
            <a:rPr b="0" lang="en-US" sz="1000" strike="noStrike" u="none">
              <a:solidFill>
                <a:srgbClr val="000000"/>
              </a:solidFill>
              <a:uFillTx/>
              <a:latin typeface="Arial"/>
            </a:rPr>
            <a:t>1/4)</a:t>
          </a:r>
          <a:r>
            <a:rPr b="0" lang="ja-JP" sz="1000" strike="noStrike" u="none">
              <a:solidFill>
                <a:srgbClr val="000000"/>
              </a:solidFill>
              <a:uFillTx/>
              <a:latin typeface="Arial"/>
            </a:rPr>
            <a:t>形式对碎片称重，在</a:t>
          </a:r>
          <a:r>
            <a:rPr b="0" lang="en-US" sz="1000" strike="noStrike" u="none">
              <a:solidFill>
                <a:srgbClr val="000000"/>
              </a:solidFill>
              <a:uFillTx/>
              <a:latin typeface="Arial"/>
            </a:rPr>
            <a:t>"</a:t>
          </a:r>
          <a:r>
            <a:rPr b="0" lang="ja-JP" sz="1000" strike="noStrike" u="none">
              <a:solidFill>
                <a:srgbClr val="000000"/>
              </a:solidFill>
              <a:uFillTx/>
              <a:latin typeface="Arial"/>
            </a:rPr>
            <a:t>矿块数量</a:t>
          </a:r>
          <a:r>
            <a:rPr b="0" lang="en-US" sz="1000" strike="noStrike" u="none">
              <a:solidFill>
                <a:srgbClr val="000000"/>
              </a:solidFill>
              <a:uFillTx/>
              <a:latin typeface="Arial"/>
            </a:rPr>
            <a:t>"</a:t>
          </a:r>
          <a:r>
            <a:rPr b="0" lang="ja-JP" sz="1000" strike="noStrike" u="none">
              <a:solidFill>
                <a:srgbClr val="000000"/>
              </a:solidFill>
              <a:uFillTx/>
              <a:latin typeface="Arial"/>
            </a:rPr>
            <a:t>表里输入</a:t>
          </a:r>
          <a:r>
            <a:rPr b="0" lang="en-US" sz="1000" strike="noStrike" u="none">
              <a:solidFill>
                <a:srgbClr val="000000"/>
              </a:solidFill>
              <a:uFillTx/>
              <a:latin typeface="Arial"/>
            </a:rPr>
            <a:t>2</a:t>
          </a:r>
          <a:r>
            <a:rPr b="0" lang="ja-JP" sz="1000" strike="noStrike" u="none">
              <a:solidFill>
                <a:srgbClr val="000000"/>
              </a:solidFill>
              <a:uFillTx/>
              <a:latin typeface="Arial"/>
            </a:rPr>
            <a:t>（或</a:t>
          </a:r>
          <a:r>
            <a:rPr b="0" lang="en-US" sz="1000" strike="noStrike" u="none">
              <a:solidFill>
                <a:srgbClr val="000000"/>
              </a:solidFill>
              <a:uFillTx/>
              <a:latin typeface="Arial"/>
            </a:rPr>
            <a:t>4</a:t>
          </a:r>
          <a:r>
            <a:rPr b="0" lang="ja-JP" sz="1000" strike="noStrike" u="none">
              <a:solidFill>
                <a:srgbClr val="000000"/>
              </a:solidFill>
              <a:uFillTx/>
              <a:latin typeface="Arial"/>
            </a:rPr>
            <a:t>）。若矿块长度不一致，那么需要单独进行称量，此时在“矿块数量”表里输入</a:t>
          </a:r>
          <a:r>
            <a:rPr b="0" lang="en-US" sz="1000" strike="noStrike" u="none">
              <a:solidFill>
                <a:srgbClr val="000000"/>
              </a:solidFill>
              <a:uFillTx/>
              <a:latin typeface="Arial"/>
            </a:rPr>
            <a:t>1</a:t>
          </a:r>
          <a:r>
            <a:rPr b="0" lang="ja-JP" sz="1000" strike="noStrike" u="none">
              <a:solidFill>
                <a:srgbClr val="000000"/>
              </a:solidFill>
              <a:uFillTx/>
              <a:latin typeface="Arial"/>
            </a:rPr>
            <a:t>。称重后，测量对应的长度。长度用于决定</a:t>
          </a:r>
          <a:r>
            <a:rPr b="0" lang="en-AU" sz="1000" strike="noStrike" u="none">
              <a:solidFill>
                <a:srgbClr val="000000"/>
              </a:solidFill>
              <a:uFillTx/>
              <a:latin typeface="Arial"/>
            </a:rPr>
            <a:t>mm/g</a:t>
          </a:r>
          <a:r>
            <a:rPr b="0" lang="ja-JP" sz="1000" strike="noStrike" u="none">
              <a:solidFill>
                <a:srgbClr val="000000"/>
              </a:solidFill>
              <a:uFillTx/>
              <a:latin typeface="Arial"/>
            </a:rPr>
            <a:t>的平均数，以便计算要求切割长度。</a:t>
          </a:r>
          <a:endParaRPr b="0" lang="en-US" sz="1000" strike="noStrike" u="none">
            <a:uFillTx/>
            <a:latin typeface="Nimbus Roman"/>
          </a:endParaRPr>
        </a:p>
        <a:p>
          <a:pPr>
            <a:lnSpc>
              <a:spcPts val="1001"/>
            </a:lnSpc>
          </a:pPr>
          <a:endParaRPr b="0" lang="en-US" sz="1000" strike="noStrike" u="none">
            <a:uFillTx/>
            <a:latin typeface="Nimbus Roman"/>
          </a:endParaRPr>
        </a:p>
        <a:p>
          <a:pPr>
            <a:lnSpc>
              <a:spcPct val="100000"/>
            </a:lnSpc>
          </a:pPr>
          <a:r>
            <a:rPr b="0" lang="ja-JP" sz="1000" strike="noStrike" u="none">
              <a:solidFill>
                <a:srgbClr val="000000"/>
              </a:solidFill>
              <a:uFillTx/>
              <a:latin typeface="Arial"/>
            </a:rPr>
            <a:t>　  若选用破碎、筛分、挑选制样法，至少要在要求的粒度范围内随机选择</a:t>
          </a:r>
          <a:r>
            <a:rPr b="0" lang="en-US" sz="1000" strike="noStrike" u="none">
              <a:solidFill>
                <a:srgbClr val="000000"/>
              </a:solidFill>
              <a:uFillTx/>
              <a:latin typeface="Arial"/>
            </a:rPr>
            <a:t>30</a:t>
          </a:r>
          <a:r>
            <a:rPr b="0" lang="ja-JP" sz="1000" strike="noStrike" u="none">
              <a:solidFill>
                <a:srgbClr val="000000"/>
              </a:solidFill>
              <a:uFillTx/>
              <a:latin typeface="Arial"/>
            </a:rPr>
            <a:t>块矿石。将矿石至于篮子里分别在空气中与水中称重，采用该制样方式时。这种情况下，“碎块数量”一栏数值无关紧要，因为它仅在</a:t>
          </a:r>
          <a:r>
            <a:rPr b="0" lang="en-AU" sz="1000" strike="noStrike" u="none">
              <a:solidFill>
                <a:srgbClr val="000000"/>
              </a:solidFill>
              <a:uFillTx/>
              <a:latin typeface="Arial"/>
            </a:rPr>
            <a:t>mm/g</a:t>
          </a:r>
          <a:r>
            <a:rPr b="0" lang="ja-JP" sz="1000" strike="noStrike" u="none">
              <a:solidFill>
                <a:srgbClr val="000000"/>
              </a:solidFill>
              <a:uFillTx/>
              <a:latin typeface="Arial"/>
            </a:rPr>
            <a:t>计算中使用。</a:t>
          </a: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001"/>
            </a:lnSpc>
          </a:pPr>
          <a:endParaRPr b="0" lang="en-US" sz="1000" strike="noStrike" u="none">
            <a:uFillTx/>
            <a:latin typeface="Nimbus Roman"/>
          </a:endParaRPr>
        </a:p>
      </xdr:txBody>
    </xdr:sp>
    <xdr:clientData/>
  </xdr:twoCellAnchor>
  <xdr:twoCellAnchor editAs="twoCell">
    <xdr:from>
      <xdr:col>0</xdr:col>
      <xdr:colOff>0</xdr:colOff>
      <xdr:row>26</xdr:row>
      <xdr:rowOff>44640</xdr:rowOff>
    </xdr:from>
    <xdr:to>
      <xdr:col>8</xdr:col>
      <xdr:colOff>1440</xdr:colOff>
      <xdr:row>41</xdr:row>
      <xdr:rowOff>44280</xdr:rowOff>
    </xdr:to>
    <xdr:sp>
      <xdr:nvSpPr>
        <xdr:cNvPr id="40" name="TB_SG_I"/>
        <xdr:cNvSpPr/>
      </xdr:nvSpPr>
      <xdr:spPr>
        <a:xfrm>
          <a:off x="0" y="4486320"/>
          <a:ext cx="129193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Langkah 2:</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Jika memilih metoda Core, gunakan potongan membujur (sesuai panjang) sehingga didapat potongan seperempat core untuk ditimbang. Kedua ujung harus diratakan sebelum memotong atau jika kemudian terjadi pecahan. Timbang 10 seperempat core yg terberat, di udara lalu di air. Kedua kelompok sampel tersebut digunakan untuk menghitung SG bijih.</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 </a:t>
          </a:r>
          <a:r>
            <a:rPr b="0" lang="en-AU" sz="1000" strike="noStrike" u="none">
              <a:solidFill>
                <a:srgbClr val="000000"/>
              </a:solidFill>
              <a:uFillTx/>
              <a:latin typeface="Arial"/>
            </a:rPr>
            <a:t>Pecahan tersebut dapat ditumbang apa adanya, dengan memilih 2 atau 4 pada kolom "Jumlah Pecahan". Jika pecahan batu tsb panjangnya tidak sama harus ditimbang satu persatu. Masukkan angka 1 pad kolom "Jumlah Pecahan". Setelah ditimbang harus diukur panjangnya. Panjangnya digunakan untuk menentukan nilai mm/g agar potongan dapat dihitung.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Jika dipilih metoda Batu Pecahan, pllih setidaknya 30 pecahan secara acak dari urkuran yg dipilih. Timbang pecahan ini didalam wadah di udara dan didalam air. Dalam hal ini, tidak perlu mengisi " Jumlah Pecahan".</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0</xdr:col>
      <xdr:colOff>0</xdr:colOff>
      <xdr:row>26</xdr:row>
      <xdr:rowOff>44640</xdr:rowOff>
    </xdr:from>
    <xdr:to>
      <xdr:col>7</xdr:col>
      <xdr:colOff>2114280</xdr:colOff>
      <xdr:row>41</xdr:row>
      <xdr:rowOff>44280</xdr:rowOff>
    </xdr:to>
    <xdr:sp>
      <xdr:nvSpPr>
        <xdr:cNvPr id="41" name="TB_SG_R"/>
        <xdr:cNvSpPr/>
      </xdr:nvSpPr>
      <xdr:spPr>
        <a:xfrm>
          <a:off x="0" y="4486320"/>
          <a:ext cx="129175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ru-RU" sz="1000" strike="noStrike" u="none">
              <a:uFillTx/>
              <a:latin typeface="Nimbus Roman"/>
            </a:rPr>
            <a:t>Шаг 2:</a:t>
          </a:r>
          <a:br/>
          <a:br/>
          <a:r>
            <a:rPr b="0" lang="ru-RU" sz="1000" strike="noStrike" u="none">
              <a:uFillTx/>
              <a:latin typeface="Nimbus Roman"/>
            </a:rPr>
            <a:t>Если вы используете метод </a:t>
          </a:r>
          <a:r>
            <a:rPr b="0" lang="en-AU" sz="1000" strike="noStrike" u="none">
              <a:uFillTx/>
              <a:latin typeface="Nimbus Roman"/>
            </a:rPr>
            <a:t>Cut Core, </a:t>
          </a:r>
          <a:r>
            <a:rPr b="0" lang="ru-RU" sz="1000" strike="noStrike" u="none">
              <a:uFillTx/>
              <a:latin typeface="Nimbus Roman"/>
            </a:rPr>
            <a:t>вы должны сделать, длина стрелки сокращений сначала так, чтобы вы куски весом четвертинки ядра. Концы должны быть квадратными от до принятия продольные разрезы и снова потом, если сколов не произошло. Вы должны весить 10 крупнейших кусков четвертинки ядра, первоначально части взвешенных в воздухе, а затем в воде. Эти два набора веса, используемые для расчета </a:t>
          </a:r>
          <a:r>
            <a:rPr b="0" lang="en-AU" sz="1000" strike="noStrike" u="none">
              <a:uFillTx/>
              <a:latin typeface="Nimbus Roman"/>
            </a:rPr>
            <a:t>SG </a:t>
          </a:r>
          <a:r>
            <a:rPr b="0" lang="ru-RU" sz="1000" strike="noStrike" u="none">
              <a:uFillTx/>
              <a:latin typeface="Nimbus Roman"/>
            </a:rPr>
            <a:t>руды.</a:t>
          </a:r>
          <a:br/>
          <a:br/>
          <a:r>
            <a:rPr b="0" lang="ru-RU" sz="1000" strike="noStrike" u="none">
              <a:uFillTx/>
              <a:latin typeface="Nimbus Roman"/>
            </a:rPr>
            <a:t>Части могут быть взвешены в их естественной пары (или квартала) в этом случае вы должны ввести 2 (или 4) "Количество шт" колонка. Если куски не одинаковы в длину необходимо взвесить их по отдельности. В этом случае необходимо ввести 1 в графе «Количество шт" колонка. После взвешивания частей, их длина должна быть измерена. Длина используется для определения среднего мм / г значение, так что необходимая длина разреза может быть вычислена.</a:t>
          </a:r>
          <a:br/>
          <a:br/>
          <a:r>
            <a:rPr b="0" lang="ru-RU" sz="1000" strike="noStrike" u="none">
              <a:uFillTx/>
              <a:latin typeface="Nimbus Roman"/>
            </a:rPr>
            <a:t>Когда после Давка и выбора метода, выберите по крайней мере, 30 штук случайным образом из диапазона размеров цели. Взвесьте эти части в корзину чипа, опять же с корзиной первоначально приостановлено в воздухе, а затем приостановлено в воде. В этом случае "не из </a:t>
          </a:r>
          <a:r>
            <a:rPr b="0" lang="en-AU" sz="1000" strike="noStrike" u="none">
              <a:uFillTx/>
              <a:latin typeface="Nimbus Roman"/>
            </a:rPr>
            <a:t>Pieces" </a:t>
          </a:r>
          <a:r>
            <a:rPr b="0" lang="ru-RU" sz="1000" strike="noStrike" u="none">
              <a:uFillTx/>
              <a:latin typeface="Nimbus Roman"/>
            </a:rPr>
            <a:t>значение столбца не имеет значения, как оно используется только в мм / г расчета.</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001"/>
            </a:lnSpc>
          </a:pPr>
          <a:endParaRPr b="0" lang="en-US" sz="1000" strike="noStrike" u="none">
            <a:uFillTx/>
            <a:latin typeface="Nimbus Roman"/>
          </a:endParaRPr>
        </a:p>
      </xdr:txBody>
    </xdr:sp>
    <xdr:clientData/>
  </xdr:twoCellAnchor>
  <xdr:twoCellAnchor editAs="twoCell">
    <xdr:from>
      <xdr:col>0</xdr:col>
      <xdr:colOff>0</xdr:colOff>
      <xdr:row>26</xdr:row>
      <xdr:rowOff>44640</xdr:rowOff>
    </xdr:from>
    <xdr:to>
      <xdr:col>7</xdr:col>
      <xdr:colOff>2114280</xdr:colOff>
      <xdr:row>41</xdr:row>
      <xdr:rowOff>44280</xdr:rowOff>
    </xdr:to>
    <xdr:sp>
      <xdr:nvSpPr>
        <xdr:cNvPr id="42" name="TB_SG_S"/>
        <xdr:cNvSpPr/>
      </xdr:nvSpPr>
      <xdr:spPr>
        <a:xfrm>
          <a:off x="0" y="4486320"/>
          <a:ext cx="129175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Paso 2:</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Si usted está utilizando el método del Testigo Cortado, usted primero debe hacer los cortes longitudinales  de modo que usted esté pesando partículas del testigo cuarteado. Los extremos se deben ajustar antes de hacer los cortes longitudinales y otra vez luego si ha ocurrido el saltado. Usted debe pesar 10 de las particulas más grandes del testigo cuarteado, inicialmente con las particulas suspendidos en aire y luego en el agua. Estos dos sets de pesos se utilizan para calcular la GE del mineral.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Las partículas se pueden pesar en sus pares naturales (o los cuartos) en los cuales caso que usted debe introducir 2 (ó 4) en la columna "Nº de Partículas". Si las partículas no son idénticas en longitud usted necesitará pesarlos individualmente. En este caso usted debe introducir 1 en "Nº de Partículas". Después de pesar las partículas, sus longitudes deben ser medidas. La longitud se utiliza para determinar un valor promedio de mm/g para poder calcular el largo de corte requerido.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Cuando se está siguiendo el método de Chancado y Selección, seleccione por lo menos 30 partículas aleatoriamente desde el rango de tamaño objetivo. Pese estas partículas en una cesta, otra vez con la cesta suspendida inicialmente en aire y luego suspendida en agua. En este caso el valor de la columna "Nº de Partículas" no importa ya que sólo se utiliza en el cálculo de mm/g.</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0</xdr:col>
      <xdr:colOff>0</xdr:colOff>
      <xdr:row>26</xdr:row>
      <xdr:rowOff>44640</xdr:rowOff>
    </xdr:from>
    <xdr:to>
      <xdr:col>7</xdr:col>
      <xdr:colOff>2114280</xdr:colOff>
      <xdr:row>41</xdr:row>
      <xdr:rowOff>44280</xdr:rowOff>
    </xdr:to>
    <xdr:sp>
      <xdr:nvSpPr>
        <xdr:cNvPr id="43" name="TB_SG_P"/>
        <xdr:cNvSpPr/>
      </xdr:nvSpPr>
      <xdr:spPr>
        <a:xfrm>
          <a:off x="0" y="4486320"/>
          <a:ext cx="129175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Passo 2:</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Se o método usado é o do testemunho cortado, deve- se fazer o corte axial antes, para que se pese o corpo já quarteado. As pontas devem ser descartadas antes de se fazer os cortes radiais, assim como quando houver algum lascamento. As 10 maiores peças de material quarteado devem ser pesadas primeiramente no ar e depois imersas em água. Estes dois resultados de pesagem serão utilizados no cálculo da densidade específica do minério.</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As duas metades (ou os quatro quartos) de um mesmo testemunho devem ser pesadas juntamente; em cada caso é necessário inserir 2 (ou 4) na coluna "No. de peças".  Se as peças forem diferentes em comprimento, será necessário pesá-las separadamente depois. Neste caso é preciso inserir 1 na coluna "No. de peças".  Depois da pesagem, é preciso medir o comprimento das peças. O comprimento é usado para determinar  um valor médio de mm/g para que o comprimento estipulado seja calculado.</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Seguindo com o método "Crush and Select", selecione pelo menos 30 peças aleatóreas da faixa de tamanho estipulada. Pese as peças numa cesta de tela, novamente com a tela inicialmente suspensa no ar e depois imersa na água. Neste caso a coluna "No. de peças" não tem importância, pois vale somente para calcular o valor médio de mm/g.</a:t>
          </a:r>
          <a:endParaRPr b="0" lang="en-US" sz="1000" strike="noStrike" u="none">
            <a:uFillTx/>
            <a:latin typeface="Nimbus Roman"/>
          </a:endParaRPr>
        </a:p>
      </xdr:txBody>
    </xdr:sp>
    <xdr:clientData/>
  </xdr:twoCellAnchor>
  <xdr:twoCellAnchor editAs="twoCell">
    <xdr:from>
      <xdr:col>0</xdr:col>
      <xdr:colOff>0</xdr:colOff>
      <xdr:row>26</xdr:row>
      <xdr:rowOff>44640</xdr:rowOff>
    </xdr:from>
    <xdr:to>
      <xdr:col>7</xdr:col>
      <xdr:colOff>2114280</xdr:colOff>
      <xdr:row>41</xdr:row>
      <xdr:rowOff>44280</xdr:rowOff>
    </xdr:to>
    <xdr:sp>
      <xdr:nvSpPr>
        <xdr:cNvPr id="44" name="TB_SG_E"/>
        <xdr:cNvSpPr/>
      </xdr:nvSpPr>
      <xdr:spPr>
        <a:xfrm>
          <a:off x="0" y="4486320"/>
          <a:ext cx="12917520" cy="24285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ts val="1100"/>
            </a:lnSpc>
          </a:pPr>
          <a:r>
            <a:rPr b="1" lang="en-AU" sz="1000" strike="noStrike" u="none">
              <a:solidFill>
                <a:srgbClr val="000000"/>
              </a:solidFill>
              <a:uFillTx/>
              <a:latin typeface="Arial"/>
            </a:rPr>
            <a:t>Step 2:</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r>
            <a:rPr b="0" lang="en-AU" sz="1000" strike="noStrike" u="none">
              <a:solidFill>
                <a:srgbClr val="000000"/>
              </a:solidFill>
              <a:uFillTx/>
              <a:latin typeface="Arial"/>
            </a:rPr>
            <a:t>If you are using the Cut Core method, you should do the length-wise cuts first so that you are weighing pieces of quartered core.  The ends should be squared off prior to making the longitudinal cuts and again afterwards if chipping has occurred.  You should weigh 10 of the largest pieces of quartered core, initially with the pieces suspended in air and then in water.  These two sets of weights are used to calculate the SG of the ore.  </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r>
            <a:rPr b="0" lang="en-AU" sz="1000" strike="noStrike" u="none">
              <a:solidFill>
                <a:srgbClr val="000000"/>
              </a:solidFill>
              <a:uFillTx/>
              <a:latin typeface="Arial"/>
            </a:rPr>
            <a:t>The pieces can be weighed in their natural pairs (or quarters) in which case you should enter 2 (or 4) in the "No. of Pieces" column.  If the pieces are not identical in length you will need to weigh them singly.  In this case you must enter 1 in the "No. of Pieces" column.  After weighing the pieces, their lengths should be measured.  The length is used to determine an average mm/g value so that the required cut length can be calculated.</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r>
            <a:rPr b="0" lang="en-AU" sz="1000" strike="noStrike" u="none">
              <a:solidFill>
                <a:srgbClr val="000000"/>
              </a:solidFill>
              <a:uFillTx/>
              <a:latin typeface="Arial"/>
            </a:rPr>
            <a:t>When following the Crush &amp; Select method, select at least 30 pieces at random from the target size range.  Weigh these pieces in a chip basket, again with the basket initially suspended in air and then suspended in water.  In this case the "No of Pieces" column value does not matter as it is only used in the mm/g calculation.  </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100"/>
            </a:lnSpc>
          </a:pP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1</xdr:col>
      <xdr:colOff>0</xdr:colOff>
      <xdr:row>14</xdr:row>
      <xdr:rowOff>64800</xdr:rowOff>
    </xdr:from>
    <xdr:to>
      <xdr:col>5</xdr:col>
      <xdr:colOff>734040</xdr:colOff>
      <xdr:row>21</xdr:row>
      <xdr:rowOff>64440</xdr:rowOff>
    </xdr:to>
    <xdr:sp>
      <xdr:nvSpPr>
        <xdr:cNvPr id="45" name="TB_CC_C"/>
        <xdr:cNvSpPr/>
      </xdr:nvSpPr>
      <xdr:spPr>
        <a:xfrm>
          <a:off x="110520" y="2371680"/>
          <a:ext cx="3876120" cy="113328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ja-JP" sz="1000" strike="noStrike" u="none">
              <a:solidFill>
                <a:srgbClr val="000000"/>
              </a:solidFill>
              <a:uFillTx/>
              <a:latin typeface="Arial"/>
            </a:rPr>
            <a:t>第</a:t>
          </a:r>
          <a:r>
            <a:rPr b="1" lang="en-US" sz="1000" strike="noStrike" u="none">
              <a:solidFill>
                <a:srgbClr val="000000"/>
              </a:solidFill>
              <a:uFillTx/>
              <a:latin typeface="Arial"/>
            </a:rPr>
            <a:t>3</a:t>
          </a:r>
          <a:r>
            <a:rPr b="1" lang="ja-JP" sz="1000" strike="noStrike" u="none">
              <a:solidFill>
                <a:srgbClr val="000000"/>
              </a:solidFill>
              <a:uFillTx/>
              <a:latin typeface="Arial"/>
            </a:rPr>
            <a:t>步 切割岩芯法</a:t>
          </a:r>
          <a:r>
            <a:rPr b="1" lang="en-US" sz="1000" strike="noStrike" u="none">
              <a:solidFill>
                <a:srgbClr val="000000"/>
              </a:solidFill>
              <a:uFillTx/>
              <a:latin typeface="Arial"/>
            </a:rPr>
            <a:t>: </a:t>
          </a:r>
          <a:endParaRPr b="0" lang="en-US" sz="1000" strike="noStrike" u="none">
            <a:uFillTx/>
            <a:latin typeface="Nimbus Roman"/>
          </a:endParaRPr>
        </a:p>
        <a:p>
          <a:pPr>
            <a:lnSpc>
              <a:spcPct val="100000"/>
            </a:lnSpc>
          </a:pPr>
          <a:r>
            <a:rPr b="0" lang="en-US" sz="1000" strike="noStrike" u="none">
              <a:solidFill>
                <a:srgbClr val="000000"/>
              </a:solidFill>
              <a:uFillTx/>
              <a:latin typeface="Arial"/>
            </a:rPr>
            <a:t>     </a:t>
          </a:r>
          <a:r>
            <a:rPr b="0" lang="ja-JP" sz="1000" strike="noStrike" u="none">
              <a:solidFill>
                <a:srgbClr val="000000"/>
              </a:solidFill>
              <a:uFillTx/>
              <a:latin typeface="Arial"/>
            </a:rPr>
            <a:t>按照之前表格计算的长度</a:t>
          </a:r>
          <a:r>
            <a:rPr b="0" lang="en-US" sz="1000" strike="noStrike" u="none">
              <a:solidFill>
                <a:srgbClr val="000000"/>
              </a:solidFill>
              <a:uFillTx/>
              <a:latin typeface="Arial"/>
            </a:rPr>
            <a:t>,</a:t>
          </a:r>
          <a:r>
            <a:rPr b="0" lang="ja-JP" sz="1000" strike="noStrike" u="none">
              <a:solidFill>
                <a:srgbClr val="000000"/>
              </a:solidFill>
              <a:uFillTx/>
              <a:latin typeface="Arial"/>
            </a:rPr>
            <a:t>切割</a:t>
          </a:r>
          <a:r>
            <a:rPr b="0" lang="en-US" sz="1000" strike="noStrike" u="none">
              <a:solidFill>
                <a:srgbClr val="000000"/>
              </a:solidFill>
              <a:uFillTx/>
              <a:latin typeface="Arial"/>
            </a:rPr>
            <a:t>100</a:t>
          </a:r>
          <a:r>
            <a:rPr b="0" lang="ja-JP" sz="1000" strike="noStrike" u="none">
              <a:solidFill>
                <a:srgbClr val="000000"/>
              </a:solidFill>
              <a:uFillTx/>
              <a:latin typeface="Arial"/>
            </a:rPr>
            <a:t>块岩芯。并将其随机分成</a:t>
          </a:r>
          <a:r>
            <a:rPr b="0" lang="en-US" sz="1000" strike="noStrike" u="none">
              <a:solidFill>
                <a:srgbClr val="000000"/>
              </a:solidFill>
              <a:uFillTx/>
              <a:latin typeface="Arial"/>
            </a:rPr>
            <a:t>5</a:t>
          </a:r>
          <a:r>
            <a:rPr b="0" lang="ja-JP" sz="1000" strike="noStrike" u="none">
              <a:solidFill>
                <a:srgbClr val="000000"/>
              </a:solidFill>
              <a:uFillTx/>
              <a:latin typeface="Arial"/>
            </a:rPr>
            <a:t>组</a:t>
          </a:r>
          <a:r>
            <a:rPr b="0" lang="en-US" sz="1000" strike="noStrike" u="none">
              <a:solidFill>
                <a:srgbClr val="000000"/>
              </a:solidFill>
              <a:uFillTx/>
              <a:latin typeface="Arial"/>
            </a:rPr>
            <a:t>,</a:t>
          </a:r>
          <a:r>
            <a:rPr b="0" lang="ja-JP" sz="1000" strike="noStrike" u="none">
              <a:solidFill>
                <a:srgbClr val="000000"/>
              </a:solidFill>
              <a:uFillTx/>
              <a:latin typeface="Arial"/>
            </a:rPr>
            <a:t>每组</a:t>
          </a:r>
          <a:r>
            <a:rPr b="0" lang="en-US" sz="1000" strike="noStrike" u="none">
              <a:solidFill>
                <a:srgbClr val="000000"/>
              </a:solidFill>
              <a:uFillTx/>
              <a:latin typeface="Arial"/>
            </a:rPr>
            <a:t>20</a:t>
          </a:r>
          <a:r>
            <a:rPr b="0" lang="ja-JP" sz="1000" strike="noStrike" u="none">
              <a:solidFill>
                <a:srgbClr val="000000"/>
              </a:solidFill>
              <a:uFillTx/>
              <a:latin typeface="Arial"/>
            </a:rPr>
            <a:t>块，测量每组总重。填入上面的表格。</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7</xdr:col>
      <xdr:colOff>0</xdr:colOff>
      <xdr:row>14</xdr:row>
      <xdr:rowOff>64800</xdr:rowOff>
    </xdr:from>
    <xdr:to>
      <xdr:col>20</xdr:col>
      <xdr:colOff>835200</xdr:colOff>
      <xdr:row>34</xdr:row>
      <xdr:rowOff>73800</xdr:rowOff>
    </xdr:to>
    <xdr:sp>
      <xdr:nvSpPr>
        <xdr:cNvPr id="46" name="TB_CandS_C"/>
        <xdr:cNvSpPr/>
      </xdr:nvSpPr>
      <xdr:spPr>
        <a:xfrm>
          <a:off x="4118040" y="2371680"/>
          <a:ext cx="16360200" cy="324756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ts val="1100"/>
            </a:lnSpc>
          </a:pPr>
          <a:r>
            <a:rPr b="1" lang="ja-JP" sz="1000" strike="noStrike" u="none">
              <a:solidFill>
                <a:srgbClr val="000000"/>
              </a:solidFill>
              <a:uFillTx/>
              <a:latin typeface="Arial"/>
            </a:rPr>
            <a:t>第</a:t>
          </a:r>
          <a:r>
            <a:rPr b="1" lang="en-US" sz="1000" strike="noStrike" u="none">
              <a:solidFill>
                <a:srgbClr val="000000"/>
              </a:solidFill>
              <a:uFillTx/>
              <a:latin typeface="Arial"/>
            </a:rPr>
            <a:t>3</a:t>
          </a:r>
          <a:r>
            <a:rPr b="1" lang="ja-JP" sz="1000" strike="noStrike" u="none">
              <a:solidFill>
                <a:srgbClr val="000000"/>
              </a:solidFill>
              <a:uFillTx/>
              <a:latin typeface="Arial"/>
            </a:rPr>
            <a:t>步：破碎、挑选矿粒制样法：</a:t>
          </a: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500"/>
            </a:lnSpc>
          </a:pPr>
          <a:r>
            <a:rPr b="1" lang="ja-JP" sz="1000" strike="noStrike" u="none">
              <a:solidFill>
                <a:srgbClr val="000000"/>
              </a:solidFill>
              <a:uFillTx/>
              <a:latin typeface="Arial"/>
            </a:rPr>
            <a:t>选择矿粒：</a:t>
          </a:r>
          <a:endParaRPr b="0" lang="en-US" sz="1000" strike="noStrike" u="none">
            <a:uFillTx/>
            <a:latin typeface="Nimbus Roman"/>
          </a:endParaRPr>
        </a:p>
        <a:p>
          <a:pPr>
            <a:lnSpc>
              <a:spcPts val="1500"/>
            </a:lnSpc>
          </a:pPr>
          <a:r>
            <a:rPr b="0" lang="ja-JP" sz="1000" strike="noStrike" u="none">
              <a:solidFill>
                <a:srgbClr val="000000"/>
              </a:solidFill>
              <a:uFillTx/>
              <a:latin typeface="Arial"/>
            </a:rPr>
            <a:t>按照下面两个标准选择</a:t>
          </a:r>
          <a:r>
            <a:rPr b="0" lang="en-US" sz="1000" strike="noStrike" u="none">
              <a:solidFill>
                <a:srgbClr val="000000"/>
              </a:solidFill>
              <a:uFillTx/>
              <a:latin typeface="Arial"/>
            </a:rPr>
            <a:t>100</a:t>
          </a:r>
          <a:r>
            <a:rPr b="0" lang="ja-JP" sz="1000" strike="noStrike" u="none">
              <a:solidFill>
                <a:srgbClr val="000000"/>
              </a:solidFill>
              <a:uFillTx/>
              <a:latin typeface="Arial"/>
            </a:rPr>
            <a:t>个矿粒：</a:t>
          </a:r>
          <a:endParaRPr b="0" lang="en-US" sz="1000" strike="noStrike" u="none">
            <a:uFillTx/>
            <a:latin typeface="Nimbus Roman"/>
          </a:endParaRPr>
        </a:p>
        <a:p>
          <a:pPr>
            <a:lnSpc>
              <a:spcPts val="1500"/>
            </a:lnSpc>
          </a:pPr>
          <a:r>
            <a:rPr b="0" lang="en-US" sz="1000" strike="noStrike" u="none">
              <a:solidFill>
                <a:srgbClr val="000000"/>
              </a:solidFill>
              <a:uFillTx/>
              <a:latin typeface="Arial"/>
            </a:rPr>
            <a:t>1.</a:t>
          </a:r>
          <a:r>
            <a:rPr b="0" lang="ja-JP" sz="1000" strike="noStrike" u="none">
              <a:solidFill>
                <a:srgbClr val="000000"/>
              </a:solidFill>
              <a:uFillTx/>
              <a:latin typeface="Arial"/>
            </a:rPr>
            <a:t>矿粒形状规则、尺寸基本一致。不能是粘结块或针片状颗粒。</a:t>
          </a:r>
          <a:endParaRPr b="0" lang="en-US" sz="1000" strike="noStrike" u="none">
            <a:uFillTx/>
            <a:latin typeface="Nimbus Roman"/>
          </a:endParaRPr>
        </a:p>
        <a:p>
          <a:pPr>
            <a:lnSpc>
              <a:spcPts val="1500"/>
            </a:lnSpc>
          </a:pPr>
          <a:r>
            <a:rPr b="0" lang="en-US" sz="1000" strike="noStrike" u="none">
              <a:solidFill>
                <a:srgbClr val="000000"/>
              </a:solidFill>
              <a:uFillTx/>
              <a:latin typeface="Arial"/>
            </a:rPr>
            <a:t>2.</a:t>
          </a:r>
          <a:r>
            <a:rPr b="0" lang="ja-JP" sz="1000" strike="noStrike" u="none">
              <a:solidFill>
                <a:srgbClr val="000000"/>
              </a:solidFill>
              <a:uFillTx/>
              <a:latin typeface="Arial"/>
            </a:rPr>
            <a:t>它们各自的质量必须位于以上说明的目标单个颗粒质量范围的上限和下限之间。限制是基于</a:t>
          </a:r>
          <a:r>
            <a:rPr b="0" lang="en-US" sz="1000" strike="noStrike" u="none">
              <a:solidFill>
                <a:srgbClr val="000000"/>
              </a:solidFill>
              <a:uFillTx/>
              <a:latin typeface="Arial"/>
            </a:rPr>
            <a:t>30%</a:t>
          </a:r>
          <a:r>
            <a:rPr b="0" lang="ja-JP" sz="1000" strike="noStrike" u="none">
              <a:solidFill>
                <a:srgbClr val="000000"/>
              </a:solidFill>
              <a:uFillTx/>
              <a:latin typeface="Arial"/>
            </a:rPr>
            <a:t>的标准重量容差，如果颗粒不足，可以增加到</a:t>
          </a:r>
          <a:r>
            <a:rPr b="0" lang="en-US" sz="1000" strike="noStrike" u="none">
              <a:solidFill>
                <a:srgbClr val="000000"/>
              </a:solidFill>
              <a:uFillTx/>
              <a:latin typeface="Arial"/>
            </a:rPr>
            <a:t>35%</a:t>
          </a:r>
          <a:r>
            <a:rPr b="0" lang="ja-JP" sz="1000" strike="noStrike" u="none">
              <a:solidFill>
                <a:srgbClr val="000000"/>
              </a:solidFill>
              <a:uFillTx/>
              <a:latin typeface="Arial"/>
            </a:rPr>
            <a:t>。</a:t>
          </a: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500"/>
            </a:lnSpc>
          </a:pPr>
          <a:r>
            <a:rPr b="1" lang="ja-JP" sz="1000" strike="noStrike" u="none">
              <a:solidFill>
                <a:srgbClr val="000000"/>
              </a:solidFill>
              <a:uFillTx/>
              <a:latin typeface="Arial"/>
            </a:rPr>
            <a:t>准备矿粒组 </a:t>
          </a:r>
          <a:r>
            <a:rPr b="1" lang="en-US" sz="1000" strike="noStrike" u="none">
              <a:solidFill>
                <a:srgbClr val="000000"/>
              </a:solidFill>
              <a:uFillTx/>
              <a:latin typeface="Arial"/>
            </a:rPr>
            <a:t>:</a:t>
          </a:r>
          <a:endParaRPr b="0" lang="en-US" sz="1000" strike="noStrike" u="none">
            <a:uFillTx/>
            <a:latin typeface="Nimbus Roman"/>
          </a:endParaRPr>
        </a:p>
        <a:p>
          <a:pPr>
            <a:lnSpc>
              <a:spcPts val="1500"/>
            </a:lnSpc>
          </a:pPr>
          <a:r>
            <a:rPr b="0" lang="ja-JP" sz="1000" strike="noStrike" u="none">
              <a:solidFill>
                <a:srgbClr val="000000"/>
              </a:solidFill>
              <a:uFillTx/>
              <a:latin typeface="Arial"/>
            </a:rPr>
            <a:t>把已选定的</a:t>
          </a:r>
          <a:r>
            <a:rPr b="0" lang="en-US" sz="1000" strike="noStrike" u="none">
              <a:solidFill>
                <a:srgbClr val="000000"/>
              </a:solidFill>
              <a:uFillTx/>
              <a:latin typeface="Arial"/>
            </a:rPr>
            <a:t>100</a:t>
          </a:r>
          <a:r>
            <a:rPr b="0" lang="ja-JP" sz="1000" strike="noStrike" u="none">
              <a:solidFill>
                <a:srgbClr val="000000"/>
              </a:solidFill>
              <a:uFillTx/>
              <a:latin typeface="Arial"/>
            </a:rPr>
            <a:t>个颗粒随机分成</a:t>
          </a:r>
          <a:r>
            <a:rPr b="0" lang="en-US" sz="1000" strike="noStrike" u="none">
              <a:solidFill>
                <a:srgbClr val="000000"/>
              </a:solidFill>
              <a:uFillTx/>
              <a:latin typeface="Arial"/>
            </a:rPr>
            <a:t>5</a:t>
          </a:r>
          <a:r>
            <a:rPr b="0" lang="ja-JP" sz="1000" strike="noStrike" u="none">
              <a:solidFill>
                <a:srgbClr val="000000"/>
              </a:solidFill>
              <a:uFillTx/>
              <a:latin typeface="Arial"/>
            </a:rPr>
            <a:t>组，每组</a:t>
          </a:r>
          <a:r>
            <a:rPr b="0" lang="en-US" sz="1000" strike="noStrike" u="none">
              <a:solidFill>
                <a:srgbClr val="000000"/>
              </a:solidFill>
              <a:uFillTx/>
              <a:latin typeface="Arial"/>
            </a:rPr>
            <a:t>20</a:t>
          </a:r>
          <a:r>
            <a:rPr b="0" lang="ja-JP" sz="1000" strike="noStrike" u="none">
              <a:solidFill>
                <a:srgbClr val="000000"/>
              </a:solidFill>
              <a:uFillTx/>
              <a:latin typeface="Arial"/>
            </a:rPr>
            <a:t>个：</a:t>
          </a:r>
          <a:endParaRPr b="0" lang="en-US" sz="1000" strike="noStrike" u="none">
            <a:uFillTx/>
            <a:latin typeface="Nimbus Roman"/>
          </a:endParaRPr>
        </a:p>
        <a:p>
          <a:pPr>
            <a:lnSpc>
              <a:spcPts val="1500"/>
            </a:lnSpc>
          </a:pPr>
          <a:r>
            <a:rPr b="0" lang="en-US" sz="1000" strike="noStrike" u="none">
              <a:solidFill>
                <a:srgbClr val="000000"/>
              </a:solidFill>
              <a:uFillTx/>
              <a:latin typeface="Arial"/>
            </a:rPr>
            <a:t>1.</a:t>
          </a:r>
          <a:r>
            <a:rPr b="0" lang="ja-JP" sz="1000" strike="noStrike" u="none">
              <a:solidFill>
                <a:srgbClr val="000000"/>
              </a:solidFill>
              <a:uFillTx/>
              <a:latin typeface="Arial"/>
            </a:rPr>
            <a:t>每组</a:t>
          </a:r>
          <a:r>
            <a:rPr b="0" lang="en-US" sz="1000" strike="noStrike" u="none">
              <a:solidFill>
                <a:srgbClr val="000000"/>
              </a:solidFill>
              <a:uFillTx/>
              <a:latin typeface="Arial"/>
            </a:rPr>
            <a:t>20</a:t>
          </a:r>
          <a:r>
            <a:rPr b="0" lang="ja-JP" sz="1000" strike="noStrike" u="none">
              <a:solidFill>
                <a:srgbClr val="000000"/>
              </a:solidFill>
              <a:uFillTx/>
              <a:latin typeface="Arial"/>
            </a:rPr>
            <a:t>个矿粒总质量也必须在上述的质量范围内；</a:t>
          </a:r>
          <a:endParaRPr b="0" lang="en-US" sz="1000" strike="noStrike" u="none">
            <a:uFillTx/>
            <a:latin typeface="Nimbus Roman"/>
          </a:endParaRPr>
        </a:p>
        <a:p>
          <a:pPr>
            <a:lnSpc>
              <a:spcPts val="1500"/>
            </a:lnSpc>
          </a:pPr>
          <a:r>
            <a:rPr b="0" lang="en-US" sz="1000" strike="noStrike" u="none">
              <a:solidFill>
                <a:srgbClr val="000000"/>
              </a:solidFill>
              <a:uFillTx/>
              <a:latin typeface="Arial"/>
            </a:rPr>
            <a:t>2.</a:t>
          </a:r>
          <a:r>
            <a:rPr b="0" lang="ja-JP" sz="1000" strike="noStrike" u="none">
              <a:solidFill>
                <a:srgbClr val="000000"/>
              </a:solidFill>
              <a:uFillTx/>
              <a:latin typeface="Arial"/>
            </a:rPr>
            <a:t>在质量不满足要求时，应该在各组之间相互交换轻、重矿粒；</a:t>
          </a:r>
          <a:endParaRPr b="0" lang="en-US" sz="1000" strike="noStrike" u="none">
            <a:uFillTx/>
            <a:latin typeface="Nimbus Roman"/>
          </a:endParaRPr>
        </a:p>
        <a:p>
          <a:pPr>
            <a:lnSpc>
              <a:spcPts val="1500"/>
            </a:lnSpc>
          </a:pPr>
          <a:r>
            <a:rPr b="0" lang="en-US" sz="1000" strike="noStrike" u="none">
              <a:solidFill>
                <a:srgbClr val="000000"/>
              </a:solidFill>
              <a:uFillTx/>
              <a:latin typeface="Arial"/>
            </a:rPr>
            <a:t>3.</a:t>
          </a:r>
          <a:r>
            <a:rPr b="0" lang="ja-JP" sz="1000" strike="noStrike" u="none">
              <a:solidFill>
                <a:srgbClr val="000000"/>
              </a:solidFill>
              <a:uFillTx/>
              <a:latin typeface="Arial"/>
            </a:rPr>
            <a:t>用</a:t>
          </a:r>
          <a:r>
            <a:rPr b="0" lang="en-US" sz="1000" strike="noStrike" u="none">
              <a:solidFill>
                <a:srgbClr val="000000"/>
              </a:solidFill>
              <a:uFillTx/>
              <a:latin typeface="Arial"/>
            </a:rPr>
            <a:t>1#</a:t>
          </a:r>
          <a:r>
            <a:rPr b="0" lang="ja-JP" sz="1000" strike="noStrike" u="none">
              <a:solidFill>
                <a:srgbClr val="000000"/>
              </a:solidFill>
              <a:uFillTx/>
              <a:latin typeface="Arial"/>
            </a:rPr>
            <a:t>～</a:t>
          </a:r>
          <a:r>
            <a:rPr b="0" lang="en-US" sz="1000" strike="noStrike" u="none">
              <a:solidFill>
                <a:srgbClr val="000000"/>
              </a:solidFill>
              <a:uFillTx/>
              <a:latin typeface="Arial"/>
            </a:rPr>
            <a:t>5#</a:t>
          </a:r>
          <a:r>
            <a:rPr b="0" lang="ja-JP" sz="1000" strike="noStrike" u="none">
              <a:solidFill>
                <a:srgbClr val="000000"/>
              </a:solidFill>
              <a:uFillTx/>
              <a:latin typeface="Arial"/>
            </a:rPr>
            <a:t>标记各矿石颗粒组；</a:t>
          </a:r>
          <a:endParaRPr b="0" lang="en-US" sz="1000" strike="noStrike" u="none">
            <a:uFillTx/>
            <a:latin typeface="Nimbus Roman"/>
          </a:endParaRPr>
        </a:p>
        <a:p>
          <a:pPr>
            <a:lnSpc>
              <a:spcPts val="1500"/>
            </a:lnSpc>
          </a:pPr>
          <a:r>
            <a:rPr b="0" lang="en-US" sz="1000" strike="noStrike" u="none">
              <a:solidFill>
                <a:srgbClr val="000000"/>
              </a:solidFill>
              <a:uFillTx/>
              <a:latin typeface="Arial"/>
            </a:rPr>
            <a:t>4.</a:t>
          </a:r>
          <a:r>
            <a:rPr b="0" lang="ja-JP" sz="1000" strike="noStrike" u="none">
              <a:solidFill>
                <a:srgbClr val="000000"/>
              </a:solidFill>
              <a:uFillTx/>
              <a:latin typeface="Arial"/>
            </a:rPr>
            <a:t>将每组质量和矿粒个数填入上面的矿粒组数据输入表内。只要有一个状态标记没有显示</a:t>
          </a:r>
          <a:r>
            <a:rPr b="0" lang="en-US" sz="1000" strike="noStrike" u="none">
              <a:solidFill>
                <a:srgbClr val="000000"/>
              </a:solidFill>
              <a:uFillTx/>
              <a:latin typeface="Arial"/>
            </a:rPr>
            <a:t>"</a:t>
          </a:r>
          <a:r>
            <a:rPr b="0" lang="en-AU" sz="1000" strike="noStrike" u="none">
              <a:solidFill>
                <a:srgbClr val="000000"/>
              </a:solidFill>
              <a:uFillTx/>
              <a:latin typeface="Arial"/>
            </a:rPr>
            <a:t>OK",</a:t>
          </a:r>
          <a:r>
            <a:rPr b="0" lang="ja-JP" sz="1000" strike="noStrike" u="none">
              <a:solidFill>
                <a:srgbClr val="000000"/>
              </a:solidFill>
              <a:uFillTx/>
              <a:latin typeface="Arial"/>
            </a:rPr>
            <a:t>就要重新确认矿粒数目和质量；</a:t>
          </a:r>
          <a:endParaRPr b="0" lang="en-US" sz="1000" strike="noStrike" u="none">
            <a:uFillTx/>
            <a:latin typeface="Nimbus Roman"/>
          </a:endParaRPr>
        </a:p>
        <a:p>
          <a:pPr>
            <a:lnSpc>
              <a:spcPts val="1500"/>
            </a:lnSpc>
          </a:pPr>
          <a:r>
            <a:rPr b="0" lang="en-US" sz="1000" strike="noStrike" u="none">
              <a:solidFill>
                <a:srgbClr val="000000"/>
              </a:solidFill>
              <a:uFillTx/>
              <a:latin typeface="Arial"/>
            </a:rPr>
            <a:t>5.</a:t>
          </a:r>
          <a:r>
            <a:rPr b="0" lang="ja-JP" sz="1000" strike="noStrike" u="none">
              <a:solidFill>
                <a:srgbClr val="000000"/>
              </a:solidFill>
              <a:uFillTx/>
              <a:latin typeface="Arial"/>
            </a:rPr>
            <a:t>如果已将单个矿粒质量允许范围增加至计算质量的</a:t>
          </a:r>
          <a:r>
            <a:rPr b="0" lang="en-US" sz="1000" strike="noStrike" u="none">
              <a:solidFill>
                <a:srgbClr val="000000"/>
              </a:solidFill>
              <a:uFillTx/>
              <a:latin typeface="Arial"/>
            </a:rPr>
            <a:t>35%</a:t>
          </a:r>
          <a:r>
            <a:rPr b="0" lang="ja-JP" sz="1000" strike="noStrike" u="none">
              <a:solidFill>
                <a:srgbClr val="000000"/>
              </a:solidFill>
              <a:uFillTx/>
              <a:latin typeface="Arial"/>
            </a:rPr>
            <a:t>，在该粒度范围内还选不出</a:t>
          </a:r>
          <a:r>
            <a:rPr b="0" lang="en-US" sz="1000" strike="noStrike" u="none">
              <a:solidFill>
                <a:srgbClr val="000000"/>
              </a:solidFill>
              <a:uFillTx/>
              <a:latin typeface="Arial"/>
            </a:rPr>
            <a:t>100</a:t>
          </a:r>
          <a:r>
            <a:rPr b="0" lang="ja-JP" sz="1000" strike="noStrike" u="none">
              <a:solidFill>
                <a:srgbClr val="000000"/>
              </a:solidFill>
              <a:uFillTx/>
              <a:latin typeface="Arial"/>
            </a:rPr>
            <a:t>个合格矿粒，表格应对这种情况提供说明，如果少于说明中指定的最少矿粒数目，将以低一级的粒度范围试验。若已使用最低级的粒度范围，请和</a:t>
          </a:r>
          <a:r>
            <a:rPr b="0" lang="en-AU" sz="1000" strike="noStrike" u="none">
              <a:solidFill>
                <a:srgbClr val="000000"/>
              </a:solidFill>
              <a:uFillTx/>
              <a:latin typeface="Arial"/>
            </a:rPr>
            <a:t>JKTech</a:t>
          </a:r>
          <a:r>
            <a:rPr b="0" lang="ja-JP" sz="1000" strike="noStrike" u="none">
              <a:solidFill>
                <a:srgbClr val="000000"/>
              </a:solidFill>
              <a:uFillTx/>
              <a:latin typeface="Arial"/>
            </a:rPr>
            <a:t>联系。</a:t>
          </a:r>
          <a:endParaRPr b="0" lang="en-US" sz="1000" strike="noStrike" u="none">
            <a:uFillTx/>
            <a:latin typeface="Nimbus Roman"/>
          </a:endParaRPr>
        </a:p>
        <a:p>
          <a:pPr>
            <a:lnSpc>
              <a:spcPts val="901"/>
            </a:lnSpc>
          </a:pPr>
          <a:endParaRPr b="0" lang="en-US" sz="1000" strike="noStrike" u="none">
            <a:uFillTx/>
            <a:latin typeface="Nimbus Roman"/>
          </a:endParaRPr>
        </a:p>
        <a:p>
          <a:pPr>
            <a:lnSpc>
              <a:spcPts val="1001"/>
            </a:lnSpc>
          </a:pPr>
          <a:endParaRPr b="0" lang="en-US" sz="1000" strike="noStrike" u="none">
            <a:uFillTx/>
            <a:latin typeface="Nimbus Roman"/>
          </a:endParaRPr>
        </a:p>
        <a:p>
          <a:pPr>
            <a:lnSpc>
              <a:spcPts val="901"/>
            </a:lnSpc>
          </a:pPr>
          <a:endParaRPr b="0" lang="en-US" sz="1000" strike="noStrike" u="none">
            <a:uFillTx/>
            <a:latin typeface="Nimbus Roman"/>
          </a:endParaRPr>
        </a:p>
      </xdr:txBody>
    </xdr:sp>
    <xdr:clientData/>
  </xdr:twoCellAnchor>
  <xdr:twoCellAnchor editAs="twoCell">
    <xdr:from>
      <xdr:col>0</xdr:col>
      <xdr:colOff>107280</xdr:colOff>
      <xdr:row>14</xdr:row>
      <xdr:rowOff>64800</xdr:rowOff>
    </xdr:from>
    <xdr:to>
      <xdr:col>6</xdr:col>
      <xdr:colOff>3600</xdr:colOff>
      <xdr:row>21</xdr:row>
      <xdr:rowOff>64440</xdr:rowOff>
    </xdr:to>
    <xdr:sp>
      <xdr:nvSpPr>
        <xdr:cNvPr id="47" name="TB_CC_I"/>
        <xdr:cNvSpPr/>
      </xdr:nvSpPr>
      <xdr:spPr>
        <a:xfrm>
          <a:off x="107280" y="2371680"/>
          <a:ext cx="3883320" cy="113328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Langkah 3 untuk metoda Core: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Potong 100 bagian sesuai dengan panjang yg diinginkan dari perhitungan. Bagi secara acak menjadi 5 kelompok. Timbang berat tiap kelompok, catat pada tabel diatas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7</xdr:col>
      <xdr:colOff>0</xdr:colOff>
      <xdr:row>14</xdr:row>
      <xdr:rowOff>88560</xdr:rowOff>
    </xdr:from>
    <xdr:to>
      <xdr:col>20</xdr:col>
      <xdr:colOff>835560</xdr:colOff>
      <xdr:row>34</xdr:row>
      <xdr:rowOff>97560</xdr:rowOff>
    </xdr:to>
    <xdr:sp>
      <xdr:nvSpPr>
        <xdr:cNvPr id="48" name="TB_CandS_I"/>
        <xdr:cNvSpPr/>
      </xdr:nvSpPr>
      <xdr:spPr>
        <a:xfrm>
          <a:off x="4118040" y="2395440"/>
          <a:ext cx="16360560" cy="324756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Langkah 3  Untuk metoda Batu Pecahan:</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Pemilihan Partikel:</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Seratus partikel dipilih dengan kriteria:</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1. Bentuk partikelnya sebisa mungkin yang beraturan Sebaiknya dimensinya hampir sama.  Sebaiknya tidak berbentuk gepeng atau bulat.</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2.Berat masing2x partikel sebaiknya berada diantara batas tertinggi dan terendah Dengan toleransi 30% atau 35% jika jumlah partikel tidak mencukupi</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Persiapan Butiran:</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Kelompokkan butiran menjadi 5 dengan jumlah masing masing 20 butir.:</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1.  Berat dari tiap kelompok harus berada pada berat yang sudah ditentukan untuk ke 20 partikel tsb.</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2.  Untuk menyesuaikan dapat dilakukan penukaran partikel diantara kelompok tsb. .</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3.  Berit tanda kelompok  (set) 1 - 5</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4.  Masukkan berat dan jumlah partikel kedalam Tabel Data untuk Berat Partikel. Jika tidak "OK" periksa jumlah dan berat partikel</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5. Jika diatas 35% masih belum juga tercapai 100 partikel, maka pemilihan ukuran harus dirubah ke ukuran yang lebih kecil. Jika masih belum berhasil, hubungi JKTech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1</xdr:col>
      <xdr:colOff>0</xdr:colOff>
      <xdr:row>14</xdr:row>
      <xdr:rowOff>64800</xdr:rowOff>
    </xdr:from>
    <xdr:to>
      <xdr:col>5</xdr:col>
      <xdr:colOff>734040</xdr:colOff>
      <xdr:row>21</xdr:row>
      <xdr:rowOff>64440</xdr:rowOff>
    </xdr:to>
    <xdr:sp>
      <xdr:nvSpPr>
        <xdr:cNvPr id="49" name="TB_CC_R"/>
        <xdr:cNvSpPr/>
      </xdr:nvSpPr>
      <xdr:spPr>
        <a:xfrm>
          <a:off x="110520" y="2371680"/>
          <a:ext cx="3876120" cy="113328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ts val="1100"/>
            </a:lnSpc>
          </a:pPr>
          <a:r>
            <a:rPr b="1" lang="ru-RU" sz="1000" strike="noStrike" u="none">
              <a:uFillTx/>
              <a:latin typeface="Nimbus Roman"/>
            </a:rPr>
            <a:t>Шаг 3 </a:t>
          </a:r>
          <a:r>
            <a:rPr b="1" lang="en-AU" sz="1000" strike="noStrike" u="none">
              <a:uFillTx/>
              <a:latin typeface="Nimbus Roman"/>
            </a:rPr>
            <a:t>Cut </a:t>
          </a:r>
          <a:r>
            <a:rPr b="1" lang="ru-RU" sz="1000" strike="noStrike" u="none">
              <a:uFillTx/>
              <a:latin typeface="Nimbus Roman"/>
            </a:rPr>
            <a:t>Метод </a:t>
          </a:r>
          <a:r>
            <a:rPr b="1" lang="en-AU" sz="1000" strike="noStrike" u="none">
              <a:uFillTx/>
              <a:latin typeface="Nimbus Roman"/>
            </a:rPr>
            <a:t>Core:</a:t>
          </a:r>
          <a:br/>
          <a:br/>
          <a:r>
            <a:rPr b="0" lang="ru-RU" sz="1000" strike="noStrike" u="none">
              <a:uFillTx/>
              <a:latin typeface="Nimbus Roman"/>
            </a:rPr>
            <a:t>Вырезать 100 штук в зависимости от целевой длина рассчитана на предыдущий лист. Разделите эти наугад в 5 подходов по 20. Измерить общий вес каждого комплекта. Заполните таблицу выше.</a:t>
          </a:r>
          <a:endParaRPr b="0" lang="en-US" sz="1000" strike="noStrike" u="none">
            <a:uFillTx/>
            <a:latin typeface="Nimbus Roman"/>
          </a:endParaRPr>
        </a:p>
        <a:p>
          <a:pPr>
            <a:lnSpc>
              <a:spcPts val="901"/>
            </a:lnSpc>
          </a:pPr>
          <a:endParaRPr b="0" lang="en-US" sz="1000" strike="noStrike" u="none">
            <a:uFillTx/>
            <a:latin typeface="Nimbus Roman"/>
          </a:endParaRPr>
        </a:p>
        <a:p>
          <a:pPr>
            <a:lnSpc>
              <a:spcPts val="901"/>
            </a:lnSpc>
          </a:pPr>
          <a:endParaRPr b="0" lang="en-US" sz="1000" strike="noStrike" u="none">
            <a:uFillTx/>
            <a:latin typeface="Nimbus Roman"/>
          </a:endParaRPr>
        </a:p>
        <a:p>
          <a:pPr>
            <a:lnSpc>
              <a:spcPts val="901"/>
            </a:lnSpc>
          </a:pPr>
          <a:endParaRPr b="0" lang="en-US" sz="1000" strike="noStrike" u="none">
            <a:uFillTx/>
            <a:latin typeface="Nimbus Roman"/>
          </a:endParaRPr>
        </a:p>
      </xdr:txBody>
    </xdr:sp>
    <xdr:clientData/>
  </xdr:twoCellAnchor>
  <xdr:twoCellAnchor editAs="twoCell">
    <xdr:from>
      <xdr:col>7</xdr:col>
      <xdr:colOff>0</xdr:colOff>
      <xdr:row>14</xdr:row>
      <xdr:rowOff>64800</xdr:rowOff>
    </xdr:from>
    <xdr:to>
      <xdr:col>20</xdr:col>
      <xdr:colOff>835200</xdr:colOff>
      <xdr:row>34</xdr:row>
      <xdr:rowOff>73800</xdr:rowOff>
    </xdr:to>
    <xdr:sp>
      <xdr:nvSpPr>
        <xdr:cNvPr id="50" name="TB_CandS_R"/>
        <xdr:cNvSpPr/>
      </xdr:nvSpPr>
      <xdr:spPr>
        <a:xfrm>
          <a:off x="4118040" y="2371680"/>
          <a:ext cx="16360200" cy="324756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defTabSz="914400">
            <a:lnSpc>
              <a:spcPct val="100000"/>
            </a:lnSpc>
            <a:tabLst>
              <a:tab algn="l" pos="0"/>
            </a:tabLst>
          </a:pPr>
          <a:r>
            <a:rPr b="1" lang="ru-RU" sz="1000" strike="noStrike" u="none">
              <a:uFillTx/>
              <a:latin typeface="Nimbus Roman"/>
            </a:rPr>
            <a:t>Шаг 3 Метод Давка и выберите:</a:t>
          </a:r>
          <a:br/>
          <a:br/>
          <a:r>
            <a:rPr b="0" lang="ru-RU" sz="1000" strike="noStrike" u="none">
              <a:uFillTx/>
              <a:latin typeface="Nimbus Roman"/>
            </a:rPr>
            <a:t>Отбор частиц:</a:t>
          </a:r>
          <a:br/>
          <a:br/>
          <a:r>
            <a:rPr b="0" lang="ru-RU" sz="1000" strike="noStrike" u="none">
              <a:uFillTx/>
              <a:latin typeface="Nimbus Roman"/>
            </a:rPr>
            <a:t>Сто частицы, которые будут отобраны для удовлетворения 2 критерия:</a:t>
          </a:r>
          <a:br/>
          <a:r>
            <a:rPr b="0" lang="ru-RU" sz="1000" strike="noStrike" u="none">
              <a:uFillTx/>
              <a:latin typeface="Nimbus Roman"/>
            </a:rPr>
            <a:t>1. Частицы должны быть правильной формы с примерно равномерным размеров. т.е. они не должны быть плитных или удлиненные.</a:t>
          </a:r>
          <a:br/>
          <a:r>
            <a:rPr b="0" lang="ru-RU" sz="1000" strike="noStrike" u="none">
              <a:uFillTx/>
              <a:latin typeface="Nimbus Roman"/>
            </a:rPr>
            <a:t>2. Их индивидуальные массы должна находиться между верхней и нижней границы целевого диапазона индивидуальных масса частицы, как указано выше.Ограничения на основе стандартного допуска вес 30%, что может быть увеличена до 35%, если нет достаточного количества частиц.</a:t>
          </a:r>
          <a:br/>
          <a:br/>
          <a:r>
            <a:rPr b="0" lang="ru-RU" sz="1000" strike="noStrike" u="none">
              <a:uFillTx/>
              <a:latin typeface="Nimbus Roman"/>
            </a:rPr>
            <a:t>Подготовка частиц наборы:</a:t>
          </a:r>
          <a:endParaRPr b="0" lang="en-US" sz="1000" strike="noStrike" u="none">
            <a:uFillTx/>
            <a:latin typeface="Nimbus Roman"/>
          </a:endParaRPr>
        </a:p>
        <a:p>
          <a:pPr defTabSz="914400">
            <a:lnSpc>
              <a:spcPct val="100000"/>
            </a:lnSpc>
            <a:tabLst>
              <a:tab algn="l" pos="0"/>
            </a:tabLst>
          </a:pPr>
          <a:br/>
          <a:r>
            <a:rPr b="0" lang="ru-RU" sz="1000" strike="noStrike" u="none">
              <a:uFillTx/>
              <a:latin typeface="Nimbus Roman"/>
            </a:rPr>
            <a:t>Разделите 100 отобранных частиц в 5 подходов по 20:</a:t>
          </a:r>
          <a:br/>
          <a:r>
            <a:rPr b="0" lang="ru-RU" sz="1000" strike="noStrike" u="none">
              <a:uFillTx/>
              <a:latin typeface="Nimbus Roman"/>
            </a:rPr>
            <a:t>1. Масса каждого комплекта должна лежать в интервале масс набор частиц для 20 частиц, как показано выше.</a:t>
          </a:r>
          <a:br/>
          <a:r>
            <a:rPr b="0" lang="ru-RU" sz="1000" strike="noStrike" u="none">
              <a:uFillTx/>
              <a:latin typeface="Nimbus Roman"/>
            </a:rPr>
            <a:t>2. Это может потребовать замены легких частиц с тяжелыми частицами между сетами.</a:t>
          </a:r>
          <a:br/>
          <a:r>
            <a:rPr b="0" lang="ru-RU" sz="1000" strike="noStrike" u="none">
              <a:uFillTx/>
              <a:latin typeface="Nimbus Roman"/>
            </a:rPr>
            <a:t>3. Комплекты должны быть маркированы </a:t>
          </a:r>
          <a:r>
            <a:rPr b="0" lang="en-AU" sz="1000" strike="noStrike" u="none">
              <a:uFillTx/>
              <a:latin typeface="Nimbus Roman"/>
            </a:rPr>
            <a:t>Set # 1 Set # 5.</a:t>
          </a:r>
          <a:br/>
          <a:r>
            <a:rPr b="0" lang="en-AU" sz="1000" strike="noStrike" u="none">
              <a:uFillTx/>
              <a:latin typeface="Nimbus Roman"/>
            </a:rPr>
            <a:t>4.</a:t>
          </a:r>
          <a:r>
            <a:rPr b="0" lang="ru-RU" sz="1000" strike="noStrike" u="none">
              <a:uFillTx/>
              <a:latin typeface="Nimbus Roman"/>
            </a:rPr>
            <a:t>Набор массы и числа частиц должны быть введены в набор частиц массы ввода данных таблицы выше. Если какой-либо из индикаторов состояния не показывает "</a:t>
          </a:r>
          <a:r>
            <a:rPr b="0" lang="en-AU" sz="1000" strike="noStrike" u="none">
              <a:uFillTx/>
              <a:latin typeface="Nimbus Roman"/>
            </a:rPr>
            <a:t>OK", </a:t>
          </a:r>
          <a:r>
            <a:rPr b="0" lang="ru-RU" sz="1000" strike="noStrike" u="none">
              <a:uFillTx/>
              <a:latin typeface="Nimbus Roman"/>
            </a:rPr>
            <a:t>а затем вновь проверить частицы рассчитывает и массы.</a:t>
          </a:r>
          <a:br/>
          <a:r>
            <a:rPr b="0" lang="ru-RU" sz="1000" strike="noStrike" u="none">
              <a:uFillTx/>
              <a:latin typeface="Nimbus Roman"/>
            </a:rPr>
            <a:t>5. Если у вас менее 100 частиц после повышения индивидуальной переносимости массы частиц до 35%, устанавливается с сокращением числа частиц не требуется.Таблица будет предоставлять спецификации для этих множеств. Если у вас меньше, чем указанное частиц минимум, вам нужно будет сделать тест на нижнем диапазоне размеров частиц. Если вы уже используете самый низкий диапазон размеров частиц, пожалуйста, свяжитесь с </a:t>
          </a:r>
          <a:r>
            <a:rPr b="0" lang="en-AU" sz="1000" strike="noStrike" u="none">
              <a:uFillTx/>
              <a:latin typeface="Nimbus Roman"/>
            </a:rPr>
            <a:t>JKTech.</a:t>
          </a:r>
          <a:endParaRPr b="0" lang="en-US" sz="1000" strike="noStrike" u="none">
            <a:uFillTx/>
            <a:latin typeface="Nimbus Roman"/>
          </a:endParaRPr>
        </a:p>
        <a:p>
          <a:pPr defTabSz="914400">
            <a:lnSpc>
              <a:spcPct val="100000"/>
            </a:lnSpc>
            <a:tabLst>
              <a:tab algn="l" pos="0"/>
            </a:tabLst>
          </a:pPr>
          <a:endParaRPr b="0" lang="en-US" sz="1000" strike="noStrike" u="none">
            <a:uFillTx/>
            <a:latin typeface="Nimbus Roman"/>
          </a:endParaRPr>
        </a:p>
        <a:p>
          <a:pPr defTabSz="914400">
            <a:lnSpc>
              <a:spcPct val="100000"/>
            </a:lnSpc>
            <a:tabLst>
              <a:tab algn="l" pos="0"/>
            </a:tabLst>
          </a:pPr>
          <a:endParaRPr b="0" lang="en-US" sz="1000" strike="noStrike" u="none">
            <a:uFillTx/>
            <a:latin typeface="Nimbus Roman"/>
          </a:endParaRPr>
        </a:p>
        <a:p>
          <a:pPr defTabSz="914400">
            <a:lnSpc>
              <a:spcPct val="100000"/>
            </a:lnSpc>
            <a:tabLst>
              <a:tab algn="l" pos="0"/>
            </a:tabLst>
          </a:pPr>
          <a:endParaRPr b="0" lang="en-US" sz="1000" strike="noStrike" u="none">
            <a:uFillTx/>
            <a:latin typeface="Nimbus Roman"/>
          </a:endParaRPr>
        </a:p>
      </xdr:txBody>
    </xdr:sp>
    <xdr:clientData/>
  </xdr:twoCellAnchor>
  <xdr:twoCellAnchor editAs="twoCell">
    <xdr:from>
      <xdr:col>1</xdr:col>
      <xdr:colOff>0</xdr:colOff>
      <xdr:row>14</xdr:row>
      <xdr:rowOff>64800</xdr:rowOff>
    </xdr:from>
    <xdr:to>
      <xdr:col>5</xdr:col>
      <xdr:colOff>734040</xdr:colOff>
      <xdr:row>21</xdr:row>
      <xdr:rowOff>64440</xdr:rowOff>
    </xdr:to>
    <xdr:sp>
      <xdr:nvSpPr>
        <xdr:cNvPr id="51" name="TB_CC_S"/>
        <xdr:cNvSpPr/>
      </xdr:nvSpPr>
      <xdr:spPr>
        <a:xfrm>
          <a:off x="110520" y="2371680"/>
          <a:ext cx="3876120" cy="113328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ts val="1001"/>
            </a:lnSpc>
          </a:pPr>
          <a:r>
            <a:rPr b="1" lang="en-AU" sz="1000" strike="noStrike" u="none">
              <a:solidFill>
                <a:srgbClr val="000000"/>
              </a:solidFill>
              <a:uFillTx/>
              <a:latin typeface="Arial"/>
            </a:rPr>
            <a:t>Paso 3 para el Método Cortado de la Base:</a:t>
          </a: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100"/>
            </a:lnSpc>
          </a:pPr>
          <a:r>
            <a:rPr b="0" lang="en-AU" sz="1000" strike="noStrike" u="none">
              <a:solidFill>
                <a:srgbClr val="000000"/>
              </a:solidFill>
              <a:uFillTx/>
              <a:latin typeface="Arial"/>
            </a:rPr>
            <a:t>Corte 100 particulas según la longitud del objetivo calculada en la hoja anterior. Divida éstos aleatoriamente en 5 sistemas de 20. Mida el peso total de cada sistema. Complete la tabla arriba.</a:t>
          </a:r>
          <a:endParaRPr b="0" lang="en-US" sz="1000" strike="noStrike" u="none">
            <a:uFillTx/>
            <a:latin typeface="Nimbus Roman"/>
          </a:endParaRPr>
        </a:p>
        <a:p>
          <a:pPr>
            <a:lnSpc>
              <a:spcPts val="1001"/>
            </a:lnSpc>
          </a:pPr>
          <a:endParaRPr b="0" lang="en-US" sz="1000" strike="noStrike" u="none">
            <a:uFillTx/>
            <a:latin typeface="Nimbus Roman"/>
          </a:endParaRPr>
        </a:p>
        <a:p>
          <a:pPr>
            <a:lnSpc>
              <a:spcPts val="1001"/>
            </a:lnSpc>
          </a:pPr>
          <a:endParaRPr b="0" lang="en-US" sz="1000" strike="noStrike" u="none">
            <a:uFillTx/>
            <a:latin typeface="Nimbus Roman"/>
          </a:endParaRPr>
        </a:p>
        <a:p>
          <a:pPr>
            <a:lnSpc>
              <a:spcPts val="901"/>
            </a:lnSpc>
          </a:pPr>
          <a:endParaRPr b="0" lang="en-US" sz="1000" strike="noStrike" u="none">
            <a:uFillTx/>
            <a:latin typeface="Nimbus Roman"/>
          </a:endParaRPr>
        </a:p>
      </xdr:txBody>
    </xdr:sp>
    <xdr:clientData/>
  </xdr:twoCellAnchor>
  <xdr:twoCellAnchor editAs="twoCell">
    <xdr:from>
      <xdr:col>7</xdr:col>
      <xdr:colOff>0</xdr:colOff>
      <xdr:row>14</xdr:row>
      <xdr:rowOff>64800</xdr:rowOff>
    </xdr:from>
    <xdr:to>
      <xdr:col>20</xdr:col>
      <xdr:colOff>835200</xdr:colOff>
      <xdr:row>34</xdr:row>
      <xdr:rowOff>73800</xdr:rowOff>
    </xdr:to>
    <xdr:sp>
      <xdr:nvSpPr>
        <xdr:cNvPr id="52" name="TB_CandS_S"/>
        <xdr:cNvSpPr/>
      </xdr:nvSpPr>
      <xdr:spPr>
        <a:xfrm>
          <a:off x="4118040" y="2371680"/>
          <a:ext cx="16360200" cy="324756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Paso 3 para el Método de Chancado y Selección:</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SELECCIÓN DE PARTÍCULAS</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Serán seleccionadas cien partículas para resolver 2 criterios: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1. Las partículas necesitan ser forma regular con dimensiones uniformes, esto es, no deben ser laminares o alargadas.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2. Sus masas individuales deben estar entre los límites superiores e inferiores del Rango de Masa de Partículas  Objetivo indicado arriba. Los límites se basan en una tolerancia estándar del  peso de 30%, que se puede aumentar hasta 35% si no hay suficientes partículas.</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PREPARACIÓN DE LOS SISTEMAS DE LA PARTÍCULA:</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Divida las 100 partículas seleccionadas en 5 sets de 20:</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1. La masa de cada set debe estar dentro del Rango de Masa del Set de Particulas para 20 partículas según lo mostrado arriba.</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2. Esto puede requerir el intercambio de partículas livianas con las partículas pesadas entre los sets.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3. Los sistemas se deben etiquetar Set#1 a Set# 5.</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4. Las masas de los sets  y los números de partícula se deben incorporar en la tabla de Ingreso de Datos de Masa de los Sets de Partículas de arriba. Si cualquiera de los indicadores de estado no muestra la palabra "OK", entonces revise el conteo y las masas de las partículas.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5. Si usted aún tiene menos de 100 partículas después de aumentar l tolerancia de masas de partículas individuales a 35%, se requerirán sets de pocas partículas (en número). La hoja de cálculo proporcionará las especificaciones para estos sets. Si usted tiene menos que las partículas mínimas especificadas, necesitará hacer el test en un rango de tamaño de partículas menor. Si usted ya está usando el menor rango de tamaños, por favor contacte al JKTech. </a:t>
          </a:r>
          <a:endParaRPr b="0" lang="en-US" sz="1000" strike="noStrike" u="none">
            <a:uFillTx/>
            <a:latin typeface="Nimbus Roman"/>
          </a:endParaRPr>
        </a:p>
      </xdr:txBody>
    </xdr:sp>
    <xdr:clientData/>
  </xdr:twoCellAnchor>
  <xdr:twoCellAnchor editAs="twoCell">
    <xdr:from>
      <xdr:col>1</xdr:col>
      <xdr:colOff>0</xdr:colOff>
      <xdr:row>14</xdr:row>
      <xdr:rowOff>64800</xdr:rowOff>
    </xdr:from>
    <xdr:to>
      <xdr:col>5</xdr:col>
      <xdr:colOff>734040</xdr:colOff>
      <xdr:row>21</xdr:row>
      <xdr:rowOff>64440</xdr:rowOff>
    </xdr:to>
    <xdr:sp>
      <xdr:nvSpPr>
        <xdr:cNvPr id="53" name="TB_CC_P"/>
        <xdr:cNvSpPr/>
      </xdr:nvSpPr>
      <xdr:spPr>
        <a:xfrm>
          <a:off x="110520" y="2371680"/>
          <a:ext cx="3876120" cy="113328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Passo 3 - Método " Cut Core":</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Corte 100 peças de acordo com o comprimento estipulado calculado na tabela anterior. Divida-as aleatoreamente em 5 conjuntos de 20. Pese o total de cada conjunto. Complete a tabela abaixo. </a:t>
          </a:r>
          <a:endParaRPr b="0" lang="en-US" sz="1000" strike="noStrike" u="none">
            <a:uFillTx/>
            <a:latin typeface="Nimbus Roman"/>
          </a:endParaRPr>
        </a:p>
      </xdr:txBody>
    </xdr:sp>
    <xdr:clientData/>
  </xdr:twoCellAnchor>
  <xdr:twoCellAnchor editAs="twoCell">
    <xdr:from>
      <xdr:col>7</xdr:col>
      <xdr:colOff>0</xdr:colOff>
      <xdr:row>14</xdr:row>
      <xdr:rowOff>64800</xdr:rowOff>
    </xdr:from>
    <xdr:to>
      <xdr:col>20</xdr:col>
      <xdr:colOff>835200</xdr:colOff>
      <xdr:row>34</xdr:row>
      <xdr:rowOff>73800</xdr:rowOff>
    </xdr:to>
    <xdr:sp>
      <xdr:nvSpPr>
        <xdr:cNvPr id="54" name="TB_CandS_P"/>
        <xdr:cNvSpPr/>
      </xdr:nvSpPr>
      <xdr:spPr>
        <a:xfrm>
          <a:off x="4118040" y="2371680"/>
          <a:ext cx="16360200" cy="324756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Passo 3 - Método "Crush and Select":</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SELEÇÃO DAS PARTÍCILAS</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Cem partículas severão ser selecionadas seguindo os seguintes critérios: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1. As partículas devem ter um formato regular com dimensões aproximadamente uniformes, ou seja, elas não podem ser lamelares ou alongadas.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2. Cada partícula deve ter uma massa que varie dentro da faixa limitada em "Massa Estipulada para cada Patícula" como indicado abaixo. Os limites são baseados num padrão de tolerância de peso de 30%, que pode ser aumentado para 35% no caso de partículas insuficientes.</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PREPARAÇÃO DO CONJUNTO DE PARTÍCULAS:</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Dividir as 100 partículas selecionadas em 5 conjuntos de 20:</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1. A massa de cada conjunto deve variar de acordo com a Faixa de Massa do Conjunto de Partículas como mostrado a seguir:</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2. Pode ser necessário a troca de partículas leves por pesadas entre os conjuntos.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3. Os conjuntos devem ser etiquetados de "Conjunto 1" até "Conjunto 5".</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4. A massa e o número de partículas de cada conjunto deve ser digitado na tabela  "Entrada de Dados de Massa do Conjunto de Partículas". Se algum dos indicadores de estado não indicar "OK", será necessário fazer a revisão da contagem de partículas e da massas.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5.  Se mesmo depois de aumentar a tolerância da massa da partícula para 35% ainda não houver 100 partículas disponíveis, conjuntos com o número de partículas reduzido serão necessários. A planilha proverá as especificações necessárias para estes conjuntos. Se houver menos do que as partículas mínimas especific, será necessário realizar o teste numa granulometria menor. Se j a menor faixa granulométrica á estiver sendo utilizada, entre em contato com o JKTech.</a:t>
          </a:r>
          <a:endParaRPr b="0" lang="en-US" sz="1000" strike="noStrike" u="none">
            <a:uFillTx/>
            <a:latin typeface="Nimbus Roman"/>
          </a:endParaRPr>
        </a:p>
      </xdr:txBody>
    </xdr:sp>
    <xdr:clientData/>
  </xdr:twoCellAnchor>
  <xdr:twoCellAnchor editAs="twoCell">
    <xdr:from>
      <xdr:col>1</xdr:col>
      <xdr:colOff>0</xdr:colOff>
      <xdr:row>14</xdr:row>
      <xdr:rowOff>64800</xdr:rowOff>
    </xdr:from>
    <xdr:to>
      <xdr:col>5</xdr:col>
      <xdr:colOff>734040</xdr:colOff>
      <xdr:row>21</xdr:row>
      <xdr:rowOff>64440</xdr:rowOff>
    </xdr:to>
    <xdr:sp>
      <xdr:nvSpPr>
        <xdr:cNvPr id="55" name="TB_CC_E"/>
        <xdr:cNvSpPr/>
      </xdr:nvSpPr>
      <xdr:spPr>
        <a:xfrm>
          <a:off x="110520" y="2371680"/>
          <a:ext cx="3876120" cy="113328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Step 3 for Cut Core Method: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Cut 100 pieces according to the target length calculated on the previous sheet.  Divide these at random into 5 sets of 20.  Measure the total weight of each set.  Fill in the table above.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7</xdr:col>
      <xdr:colOff>0</xdr:colOff>
      <xdr:row>14</xdr:row>
      <xdr:rowOff>64800</xdr:rowOff>
    </xdr:from>
    <xdr:to>
      <xdr:col>20</xdr:col>
      <xdr:colOff>835200</xdr:colOff>
      <xdr:row>34</xdr:row>
      <xdr:rowOff>73800</xdr:rowOff>
    </xdr:to>
    <xdr:sp>
      <xdr:nvSpPr>
        <xdr:cNvPr id="56" name="TB_CandS_E"/>
        <xdr:cNvSpPr/>
      </xdr:nvSpPr>
      <xdr:spPr>
        <a:xfrm>
          <a:off x="4118040" y="2371680"/>
          <a:ext cx="16360200" cy="3247560"/>
        </a:xfrm>
        <a:prstGeom prst="rect">
          <a:avLst/>
        </a:prstGeom>
        <a:solidFill>
          <a:srgbClr val="ffffff"/>
        </a:solidFill>
        <a:ln w="222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Step 3 for Crush &amp; Select Method:</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SELECTION OF PARTICLES:</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One Hundred particles are to be selected to meet 2 criteria:</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1.  Particles need to be regular in shape with roughly uniform dimensions.  i.e. they should </a:t>
          </a:r>
          <a:r>
            <a:rPr b="0" lang="en-AU" sz="1000" strike="noStrike" u="sng">
              <a:solidFill>
                <a:srgbClr val="000000"/>
              </a:solidFill>
              <a:uFillTx/>
              <a:latin typeface="Arial"/>
            </a:rPr>
            <a:t>not</a:t>
          </a:r>
          <a:r>
            <a:rPr b="0" lang="en-AU" sz="1000" strike="noStrike" u="none">
              <a:solidFill>
                <a:srgbClr val="000000"/>
              </a:solidFill>
              <a:uFillTx/>
              <a:latin typeface="Arial"/>
            </a:rPr>
            <a:t> be slabby or elongated.</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2.  Their individual masses must lie between the upper and lower limits of the Target Individual Particle Mass Range as indicated above.  The limits are based on a standard weight tolerance of 30%, which can be increased to 35% if there are insufficient particles.</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PREPARATION OF PARTICLE SETS:</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Divide the 100 selected particles into 5 sets of 20:</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1.  The mass of each set must lie within the Particle Set Mass Range for 20 particles as shown above.  </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2.  This may require swapping light particles with heavy particles between sets.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3.  The sets should be labelled Set #1 to Set #5.</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4.  The set masses and particle numbers should be entered in the Particle Set Masses Data Entry Table above.  If any of the Status indicators do not show "OK", then re-check the particle counts and masses.</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5.  If you still have less than 100 particles after increasing the individual particle mass tolerance to 35%, sets with reduced particle numbers will be required.   The spreadsheet will provide the specifications for these sets.  If you have less than the specified minimum particles, you will need to do the test on a lower particle size range.  If you are already using the lowest particle size range, please contact JKTech.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twoCell">
    <xdr:from>
      <xdr:col>8</xdr:col>
      <xdr:colOff>0</xdr:colOff>
      <xdr:row>1</xdr:row>
      <xdr:rowOff>15120</xdr:rowOff>
    </xdr:from>
    <xdr:to>
      <xdr:col>12</xdr:col>
      <xdr:colOff>601560</xdr:colOff>
      <xdr:row>26</xdr:row>
      <xdr:rowOff>15480</xdr:rowOff>
    </xdr:to>
    <xdr:sp>
      <xdr:nvSpPr>
        <xdr:cNvPr id="57" name="TB_DWT_C"/>
        <xdr:cNvSpPr/>
      </xdr:nvSpPr>
      <xdr:spPr>
        <a:xfrm>
          <a:off x="12949560" y="295200"/>
          <a:ext cx="4135320" cy="619164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ts val="1199"/>
            </a:lnSpc>
          </a:pPr>
          <a:r>
            <a:rPr b="1" lang="ja-JP" sz="1000" strike="noStrike" u="none">
              <a:solidFill>
                <a:srgbClr val="000000"/>
              </a:solidFill>
              <a:uFillTx/>
              <a:latin typeface="Arial"/>
            </a:rPr>
            <a:t>第</a:t>
          </a:r>
          <a:r>
            <a:rPr b="1" lang="en-US" sz="1000" strike="noStrike" u="none">
              <a:solidFill>
                <a:srgbClr val="000000"/>
              </a:solidFill>
              <a:uFillTx/>
              <a:latin typeface="Arial"/>
            </a:rPr>
            <a:t>4</a:t>
          </a:r>
          <a:r>
            <a:rPr b="1" lang="ja-JP" sz="1000" strike="noStrike" u="none">
              <a:solidFill>
                <a:srgbClr val="000000"/>
              </a:solidFill>
              <a:uFillTx/>
              <a:latin typeface="Arial"/>
            </a:rPr>
            <a:t>步：</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599"/>
            </a:lnSpc>
          </a:pPr>
          <a:r>
            <a:rPr b="0" lang="en-US" sz="1000" strike="noStrike" u="none">
              <a:solidFill>
                <a:srgbClr val="000000"/>
              </a:solidFill>
              <a:uFillTx/>
              <a:latin typeface="Arial"/>
            </a:rPr>
            <a:t>   </a:t>
          </a:r>
          <a:r>
            <a:rPr b="0" lang="ja-JP" sz="1000" strike="noStrike" u="none">
              <a:solidFill>
                <a:srgbClr val="000000"/>
              </a:solidFill>
              <a:uFillTx/>
              <a:latin typeface="Arial"/>
            </a:rPr>
            <a:t>首先输入各轻重底座和板的实际质量。矿石颗粒组质量数据由前表传送到填入此表。若平均体积超出要求体积</a:t>
          </a:r>
          <a:r>
            <a:rPr b="0" lang="en-US" sz="1000" strike="noStrike" u="none">
              <a:solidFill>
                <a:srgbClr val="000000"/>
              </a:solidFill>
              <a:uFillTx/>
              <a:latin typeface="Arial"/>
            </a:rPr>
            <a:t>±10</a:t>
          </a:r>
          <a:r>
            <a:rPr b="0" lang="ja-JP" sz="1000" strike="noStrike" u="none">
              <a:solidFill>
                <a:srgbClr val="000000"/>
              </a:solidFill>
              <a:uFillTx/>
              <a:latin typeface="Arial"/>
            </a:rPr>
            <a:t>％将提出警告。 </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599"/>
            </a:lnSpc>
          </a:pPr>
          <a:r>
            <a:rPr b="0" lang="en-US" sz="1000" strike="noStrike" u="none">
              <a:solidFill>
                <a:srgbClr val="000000"/>
              </a:solidFill>
              <a:uFillTx/>
              <a:latin typeface="Arial"/>
            </a:rPr>
            <a:t>   </a:t>
          </a:r>
          <a:r>
            <a:rPr b="0" lang="ja-JP" sz="1000" strike="noStrike" u="none">
              <a:solidFill>
                <a:srgbClr val="000000"/>
              </a:solidFill>
              <a:uFillTx/>
              <a:latin typeface="Arial"/>
            </a:rPr>
            <a:t>在破碎试验中，每组矿粒有个指定的能量级别。通过在绿色单元格选择合适的质量，调整重锤下落高度在</a:t>
          </a:r>
          <a:r>
            <a:rPr b="0" lang="en-US" sz="1000" strike="noStrike" u="none">
              <a:solidFill>
                <a:srgbClr val="000000"/>
              </a:solidFill>
              <a:uFillTx/>
              <a:latin typeface="Arial"/>
            </a:rPr>
            <a:t>20</a:t>
          </a:r>
          <a:r>
            <a:rPr b="0" lang="ja-JP" sz="1000" strike="noStrike" u="none">
              <a:solidFill>
                <a:srgbClr val="000000"/>
              </a:solidFill>
              <a:uFillTx/>
              <a:latin typeface="Arial"/>
            </a:rPr>
            <a:t>至</a:t>
          </a:r>
          <a:r>
            <a:rPr b="0" lang="en-US" sz="1000" strike="noStrike" u="none">
              <a:solidFill>
                <a:srgbClr val="000000"/>
              </a:solidFill>
              <a:uFillTx/>
              <a:latin typeface="Arial"/>
            </a:rPr>
            <a:t>100</a:t>
          </a:r>
          <a:r>
            <a:rPr b="0" lang="ja-JP" sz="1000" strike="noStrike" u="none">
              <a:solidFill>
                <a:srgbClr val="000000"/>
              </a:solidFill>
              <a:uFillTx/>
              <a:latin typeface="Arial"/>
            </a:rPr>
            <a:t>厘米之间。为了缩短测试时间，通过在每个能量水平合理地选择所使用的锤头总质量，可以减少改变重锤质量的次数。</a:t>
          </a:r>
          <a:endParaRPr b="0" lang="en-US" sz="1000" strike="noStrike" u="none">
            <a:uFillTx/>
            <a:latin typeface="Nimbus Roman"/>
          </a:endParaRPr>
        </a:p>
        <a:p>
          <a:pPr>
            <a:lnSpc>
              <a:spcPts val="1100"/>
            </a:lnSpc>
          </a:pPr>
          <a:endParaRPr b="0" lang="en-US" sz="1000" strike="noStrike" u="none">
            <a:uFillTx/>
            <a:latin typeface="Nimbus Roman"/>
          </a:endParaRPr>
        </a:p>
        <a:p>
          <a:pPr>
            <a:lnSpc>
              <a:spcPct val="100000"/>
            </a:lnSpc>
          </a:pPr>
          <a:r>
            <a:rPr b="0" lang="ja-JP" sz="1000" strike="noStrike" u="none">
              <a:solidFill>
                <a:srgbClr val="000000"/>
              </a:solidFill>
              <a:uFillTx/>
              <a:latin typeface="Arial"/>
            </a:rPr>
            <a:t>　组中所有颗粒在相同条件下逐粒破碎，实际下落高度要尽可能和要求高度相匹配。当重锤高度偏差超过</a:t>
          </a:r>
          <a:r>
            <a:rPr b="0" lang="en-US" sz="1000" strike="noStrike" u="none">
              <a:solidFill>
                <a:srgbClr val="000000"/>
              </a:solidFill>
              <a:uFillTx/>
              <a:latin typeface="Arial"/>
            </a:rPr>
            <a:t>5</a:t>
          </a:r>
          <a:r>
            <a:rPr b="0" lang="ja-JP" sz="1000" strike="noStrike" u="none">
              <a:solidFill>
                <a:srgbClr val="000000"/>
              </a:solidFill>
              <a:uFillTx/>
              <a:latin typeface="Arial"/>
            </a:rPr>
            <a:t>％时设备将告警。每一次破碎后，记录锤头与砧铁的剩余距离。记录每一组破碎颗粒和未破碎颗粒的数量。</a:t>
          </a:r>
          <a:endParaRPr b="0" lang="en-US" sz="1000" strike="noStrike" u="none">
            <a:uFillTx/>
            <a:latin typeface="Nimbus Roman"/>
          </a:endParaRPr>
        </a:p>
        <a:p>
          <a:pPr>
            <a:lnSpc>
              <a:spcPts val="1100"/>
            </a:lnSpc>
          </a:pPr>
          <a:endParaRPr b="0" lang="en-US" sz="1000" strike="noStrike" u="none">
            <a:uFillTx/>
            <a:latin typeface="Nimbus Roman"/>
          </a:endParaRPr>
        </a:p>
        <a:p>
          <a:pPr>
            <a:lnSpc>
              <a:spcPct val="100000"/>
            </a:lnSpc>
          </a:pPr>
          <a:r>
            <a:rPr b="0" lang="ja-JP" sz="1000" strike="noStrike" u="none">
              <a:solidFill>
                <a:srgbClr val="000000"/>
              </a:solidFill>
              <a:uFillTx/>
              <a:latin typeface="Arial"/>
            </a:rPr>
            <a:t>　收集每一组的破碎产品，在规定的筛孔粒度进行筛分。（这取决于岩芯的直径）。使用这种尺寸上一级筛，减少在下一级筛上的负荷。记录晒上和筛下的质量。从这些数据计算筛分损失，如果出现问题表格将提出警告。</a:t>
          </a:r>
          <a:endParaRPr b="0" lang="en-US" sz="1000" strike="noStrike" u="none">
            <a:uFillTx/>
            <a:latin typeface="Nimbus Roman"/>
          </a:endParaRPr>
        </a:p>
        <a:p>
          <a:pPr>
            <a:lnSpc>
              <a:spcPts val="1100"/>
            </a:lnSpc>
          </a:pPr>
          <a:endParaRPr b="0" lang="en-US" sz="1000" strike="noStrike" u="none">
            <a:uFillTx/>
            <a:latin typeface="Nimbus Roman"/>
          </a:endParaRPr>
        </a:p>
        <a:p>
          <a:pPr>
            <a:lnSpc>
              <a:spcPts val="1599"/>
            </a:lnSpc>
          </a:pPr>
          <a:r>
            <a:rPr b="0" lang="ja-JP" sz="1000" strike="noStrike" u="none">
              <a:solidFill>
                <a:srgbClr val="000000"/>
              </a:solidFill>
              <a:uFillTx/>
              <a:latin typeface="Arial"/>
            </a:rPr>
            <a:t>　 注意：在岩石比重较大，或者处理大颗粒时，要达到最大</a:t>
          </a:r>
          <a:r>
            <a:rPr b="0" lang="en-US" sz="1000" strike="noStrike" u="none">
              <a:solidFill>
                <a:srgbClr val="000000"/>
              </a:solidFill>
              <a:uFillTx/>
              <a:latin typeface="Arial"/>
            </a:rPr>
            <a:t>3.5</a:t>
          </a:r>
          <a:r>
            <a:rPr b="0" lang="en-AU" sz="1000" strike="noStrike" u="none">
              <a:solidFill>
                <a:srgbClr val="000000"/>
              </a:solidFill>
              <a:uFillTx/>
              <a:latin typeface="Arial"/>
            </a:rPr>
            <a:t>KWh/t</a:t>
          </a:r>
          <a:r>
            <a:rPr b="0" lang="ja-JP" sz="1000" strike="noStrike" u="none">
              <a:solidFill>
                <a:srgbClr val="000000"/>
              </a:solidFill>
              <a:uFillTx/>
              <a:latin typeface="Arial"/>
            </a:rPr>
            <a:t>的目标能量是不可能的。如果可以达到最大值小于</a:t>
          </a:r>
          <a:r>
            <a:rPr b="0" lang="en-US" sz="1000" strike="noStrike" u="none">
              <a:solidFill>
                <a:srgbClr val="000000"/>
              </a:solidFill>
              <a:uFillTx/>
              <a:latin typeface="Arial"/>
            </a:rPr>
            <a:t>3.5</a:t>
          </a:r>
          <a:r>
            <a:rPr b="0" lang="ja-JP" sz="1000" strike="noStrike" u="none">
              <a:solidFill>
                <a:srgbClr val="000000"/>
              </a:solidFill>
              <a:uFillTx/>
              <a:latin typeface="Arial"/>
            </a:rPr>
            <a:t>，那么将重新设置最大目标数值从</a:t>
          </a:r>
          <a:r>
            <a:rPr b="0" lang="en-US" sz="1000" strike="noStrike" u="none">
              <a:solidFill>
                <a:srgbClr val="000000"/>
              </a:solidFill>
              <a:uFillTx/>
              <a:latin typeface="Arial"/>
            </a:rPr>
            <a:t>3.5</a:t>
          </a:r>
          <a:r>
            <a:rPr b="0" lang="ja-JP" sz="1000" strike="noStrike" u="none">
              <a:solidFill>
                <a:srgbClr val="000000"/>
              </a:solidFill>
              <a:uFillTx/>
              <a:latin typeface="Arial"/>
            </a:rPr>
            <a:t>到可达到的数值。如果最大小于</a:t>
          </a:r>
          <a:r>
            <a:rPr b="0" lang="en-US" sz="1000" strike="noStrike" u="none">
              <a:solidFill>
                <a:srgbClr val="000000"/>
              </a:solidFill>
              <a:uFillTx/>
              <a:latin typeface="Arial"/>
            </a:rPr>
            <a:t>3.2 </a:t>
          </a:r>
          <a:r>
            <a:rPr b="0" lang="en-AU" sz="1000" strike="noStrike" u="none">
              <a:solidFill>
                <a:srgbClr val="000000"/>
              </a:solidFill>
              <a:uFillTx/>
              <a:latin typeface="Arial"/>
            </a:rPr>
            <a:t>kWh/t,</a:t>
          </a:r>
          <a:r>
            <a:rPr b="0" lang="ja-JP" sz="1000" strike="noStrike" u="none">
              <a:solidFill>
                <a:srgbClr val="000000"/>
              </a:solidFill>
              <a:uFillTx/>
              <a:latin typeface="Arial"/>
            </a:rPr>
            <a:t>，那么这个以下的下一个目标能量将重新设置从</a:t>
          </a:r>
          <a:r>
            <a:rPr b="0" lang="en-US" sz="1000" strike="noStrike" u="none">
              <a:solidFill>
                <a:srgbClr val="000000"/>
              </a:solidFill>
              <a:uFillTx/>
              <a:latin typeface="Arial"/>
            </a:rPr>
            <a:t>2.5 </a:t>
          </a:r>
          <a:r>
            <a:rPr b="0" lang="en-AU" sz="1000" strike="noStrike" u="none">
              <a:solidFill>
                <a:srgbClr val="000000"/>
              </a:solidFill>
              <a:uFillTx/>
              <a:latin typeface="Arial"/>
            </a:rPr>
            <a:t>t</a:t>
          </a:r>
          <a:r>
            <a:rPr b="0" lang="ja-JP" sz="1000" strike="noStrike" u="none">
              <a:solidFill>
                <a:srgbClr val="000000"/>
              </a:solidFill>
              <a:uFillTx/>
              <a:latin typeface="Arial"/>
            </a:rPr>
            <a:t>到</a:t>
          </a:r>
          <a:r>
            <a:rPr b="0" lang="en-US" sz="1000" strike="noStrike" u="none">
              <a:solidFill>
                <a:srgbClr val="000000"/>
              </a:solidFill>
              <a:uFillTx/>
              <a:latin typeface="Arial"/>
            </a:rPr>
            <a:t>2.0 </a:t>
          </a:r>
          <a:r>
            <a:rPr b="0" lang="en-AU" sz="1000" strike="noStrike" u="none">
              <a:solidFill>
                <a:srgbClr val="000000"/>
              </a:solidFill>
              <a:uFillTx/>
              <a:latin typeface="Arial"/>
            </a:rPr>
            <a:t>kWh/t,</a:t>
          </a:r>
          <a:r>
            <a:rPr b="0" lang="ja-JP" sz="1000" strike="noStrike" u="none">
              <a:solidFill>
                <a:srgbClr val="000000"/>
              </a:solidFill>
              <a:uFillTx/>
              <a:latin typeface="Arial"/>
            </a:rPr>
            <a:t>，以便在能量范围内给出更加均匀的分布。</a:t>
          </a:r>
          <a:endParaRPr b="0" lang="en-US" sz="1000" strike="noStrike" u="none">
            <a:uFillTx/>
            <a:latin typeface="Nimbus Roman"/>
          </a:endParaRPr>
        </a:p>
      </xdr:txBody>
    </xdr:sp>
    <xdr:clientData/>
  </xdr:twoCellAnchor>
  <xdr:twoCellAnchor editAs="twoCell">
    <xdr:from>
      <xdr:col>8</xdr:col>
      <xdr:colOff>0</xdr:colOff>
      <xdr:row>27</xdr:row>
      <xdr:rowOff>22680</xdr:rowOff>
    </xdr:from>
    <xdr:to>
      <xdr:col>12</xdr:col>
      <xdr:colOff>601560</xdr:colOff>
      <xdr:row>33</xdr:row>
      <xdr:rowOff>30960</xdr:rowOff>
    </xdr:to>
    <xdr:sp>
      <xdr:nvSpPr>
        <xdr:cNvPr id="58" name="TB2_DWT_C">
          <a:hlinkClick r:id="rId1"/>
        </xdr:cNvPr>
        <xdr:cNvSpPr/>
      </xdr:nvSpPr>
      <xdr:spPr>
        <a:xfrm>
          <a:off x="12949560" y="6741720"/>
          <a:ext cx="4135320" cy="1494000"/>
        </a:xfrm>
        <a:prstGeom prst="rect">
          <a:avLst/>
        </a:prstGeom>
        <a:solidFill>
          <a:srgbClr val="ffffff"/>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zh-CN" sz="1200" strike="noStrike" u="none">
              <a:solidFill>
                <a:srgbClr val="ff0000"/>
              </a:solidFill>
              <a:uFillTx/>
              <a:latin typeface="Calibri"/>
            </a:rPr>
            <a:t>注意：</a:t>
          </a:r>
          <a:br/>
          <a:r>
            <a:rPr b="0" lang="zh-CN" sz="1200" strike="noStrike" u="none">
              <a:solidFill>
                <a:srgbClr val="ff0000"/>
              </a:solidFill>
              <a:uFillTx/>
              <a:latin typeface="Calibri"/>
            </a:rPr>
            <a:t>如果您使用的是切的核心方法，它是重要的不同方向，按照这个测试标准作业程序被打破该季度的核心件。点击这个文本框，将带来的</a:t>
          </a:r>
          <a:r>
            <a:rPr b="0" lang="en-AU" sz="1200" strike="noStrike" u="none">
              <a:solidFill>
                <a:srgbClr val="ff0000"/>
              </a:solidFill>
              <a:uFillTx/>
              <a:latin typeface="Calibri"/>
            </a:rPr>
            <a:t>SOP</a:t>
          </a:r>
          <a:r>
            <a:rPr b="0" lang="zh-CN" sz="1200" strike="noStrike" u="none">
              <a:solidFill>
                <a:srgbClr val="ff0000"/>
              </a:solidFill>
              <a:uFillTx/>
              <a:latin typeface="Calibri"/>
            </a:rPr>
            <a:t>文件，你可以找到所需的方向，在最后一节的详细信息。</a:t>
          </a:r>
          <a:endParaRPr b="0" lang="en-US" sz="1200" strike="noStrike" u="none">
            <a:uFillTx/>
            <a:latin typeface="Nimbus Roman"/>
          </a:endParaRPr>
        </a:p>
        <a:p>
          <a:pPr>
            <a:lnSpc>
              <a:spcPct val="100000"/>
            </a:lnSpc>
          </a:pPr>
          <a:endParaRPr b="0" lang="en-US" sz="1100" strike="noStrike" u="none">
            <a:uFillTx/>
            <a:latin typeface="Nimbus Roman"/>
          </a:endParaRPr>
        </a:p>
        <a:p>
          <a:pPr>
            <a:lnSpc>
              <a:spcPct val="100000"/>
            </a:lnSpc>
          </a:pPr>
          <a:r>
            <a:rPr b="0" lang="en-AU" sz="1100" strike="noStrike" u="none">
              <a:solidFill>
                <a:schemeClr val="dk1"/>
              </a:solidFill>
              <a:uFillTx/>
              <a:latin typeface="Calibri"/>
            </a:rPr>
            <a:t> </a:t>
          </a:r>
          <a:endParaRPr b="0" lang="en-US" sz="1100" strike="noStrike" u="none">
            <a:uFillTx/>
            <a:latin typeface="Nimbus Roman"/>
          </a:endParaRPr>
        </a:p>
      </xdr:txBody>
    </xdr:sp>
    <xdr:clientData/>
  </xdr:twoCellAnchor>
  <xdr:twoCellAnchor editAs="twoCell">
    <xdr:from>
      <xdr:col>8</xdr:col>
      <xdr:colOff>7560</xdr:colOff>
      <xdr:row>1</xdr:row>
      <xdr:rowOff>20880</xdr:rowOff>
    </xdr:from>
    <xdr:to>
      <xdr:col>13</xdr:col>
      <xdr:colOff>720</xdr:colOff>
      <xdr:row>26</xdr:row>
      <xdr:rowOff>14760</xdr:rowOff>
    </xdr:to>
    <xdr:sp>
      <xdr:nvSpPr>
        <xdr:cNvPr id="59" name="TB_DWT_I"/>
        <xdr:cNvSpPr/>
      </xdr:nvSpPr>
      <xdr:spPr>
        <a:xfrm>
          <a:off x="12957120" y="300960"/>
          <a:ext cx="4128840" cy="61851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Step 4:</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Masukkan data berat aktual dari beban yg berat dan ringan dan juga plat nya. Berat partikel di pindahkan ke halaman ini dari yg sebelumnya. Jika volume rata2x diluar toleransi 10%, akan muncul tanda peringatan.</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Setiap kelompok partikel mendapatkan pemilihan energi tertentu. Berat harus dipilih dari kolom yg berwarna hijau sehingga menghasilkan hitungan tinggi antara 20 - 100 cm. Usahakan pilih beban yang sama agar sesedikit mungkin mengganti beban.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Semua partikel akan dipecahkan masing2x dengan kondisi yg sama. Tinggi Drop diusahakn sedekat mungkin dgn tinggi yg ditentukan. Jika penyimpangan melebihi 5%, akan muncul tanda peringatan. Setiap kali melakukan pemecahan, catat tinggi sisa. juga catat, jika ada batu yg tidak pecah atau hanya pecah sedikit (chipped)</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Gabungkan hasil pecahan dalam satu kelompok lalu diayak dan tiap ukurang ditimbang. Sebaiknya digunakan juga tambahan ayakan diatas ukuran yang diminta untuk mengurangi beban ketika mengayak.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Untuk batu yang memiliki SG tinggi biasanya partikelnya juga lebih besar. Kemungkinan sulit mencapai tingkat energi 3.5 kWh/t. Jika tingkat energi 3.5 tidak tercapai, gunakan yang mungkin tercapai. Jika ternyata dibawah 3.2 kWh/t, maka tingkat energi berikutnya harus diubah ke 2.5 atau 2.0 kWh/t untuk memberi distribusi yang rata untuk rentang energi.</a:t>
          </a: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8</xdr:col>
      <xdr:colOff>6840</xdr:colOff>
      <xdr:row>27</xdr:row>
      <xdr:rowOff>21960</xdr:rowOff>
    </xdr:from>
    <xdr:to>
      <xdr:col>13</xdr:col>
      <xdr:colOff>42840</xdr:colOff>
      <xdr:row>33</xdr:row>
      <xdr:rowOff>26280</xdr:rowOff>
    </xdr:to>
    <xdr:sp>
      <xdr:nvSpPr>
        <xdr:cNvPr id="60" name="TB2_DWT_I">
          <a:hlinkClick r:id="rId2"/>
        </xdr:cNvPr>
        <xdr:cNvSpPr/>
      </xdr:nvSpPr>
      <xdr:spPr>
        <a:xfrm>
          <a:off x="12956400" y="6741000"/>
          <a:ext cx="4171680" cy="1490040"/>
        </a:xfrm>
        <a:prstGeom prst="rect">
          <a:avLst/>
        </a:prstGeom>
        <a:solidFill>
          <a:srgbClr val="ffffff"/>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1" lang="en-AU" sz="1100" strike="noStrike" u="none">
              <a:solidFill>
                <a:srgbClr val="ff0000"/>
              </a:solidFill>
              <a:uFillTx/>
              <a:latin typeface="Calibri"/>
            </a:rPr>
            <a:t>Note:</a:t>
          </a:r>
          <a:endParaRPr b="0" lang="en-US" sz="1100" strike="noStrike" u="none">
            <a:uFillTx/>
            <a:latin typeface="Nimbus Roman"/>
          </a:endParaRPr>
        </a:p>
        <a:p>
          <a:pPr>
            <a:lnSpc>
              <a:spcPct val="100000"/>
            </a:lnSpc>
          </a:pPr>
          <a:r>
            <a:rPr b="0" lang="en-AU" sz="1100" strike="noStrike" u="none">
              <a:solidFill>
                <a:srgbClr val="ff0000"/>
              </a:solidFill>
              <a:uFillTx/>
              <a:latin typeface="Calibri"/>
            </a:rPr>
            <a:t>Untuk metoda </a:t>
          </a:r>
          <a:r>
            <a:rPr b="0" i="1" lang="en-AU" sz="1100" strike="noStrike" u="none">
              <a:solidFill>
                <a:srgbClr val="ff0000"/>
              </a:solidFill>
              <a:uFillTx/>
              <a:latin typeface="Calibri"/>
            </a:rPr>
            <a:t>cut core</a:t>
          </a:r>
          <a:r>
            <a:rPr b="0" lang="en-AU" sz="1100" strike="noStrike" u="none">
              <a:solidFill>
                <a:srgbClr val="ff0000"/>
              </a:solidFill>
              <a:uFillTx/>
              <a:latin typeface="Calibri"/>
            </a:rPr>
            <a:t> orientasi peletakan potongan core harus di variasi kan.  Hal ini sesuai dengan SOP. Tekan text box ini untuk </a:t>
          </a:r>
          <a:r>
            <a:rPr b="0" i="1" lang="en-AU" sz="1100" strike="noStrike" u="none">
              <a:solidFill>
                <a:srgbClr val="ff0000"/>
              </a:solidFill>
              <a:uFillTx/>
              <a:latin typeface="Calibri"/>
            </a:rPr>
            <a:t>link</a:t>
          </a:r>
          <a:r>
            <a:rPr b="0" lang="en-AU" sz="1100" strike="noStrike" u="none">
              <a:solidFill>
                <a:srgbClr val="ff0000"/>
              </a:solidFill>
              <a:uFillTx/>
              <a:latin typeface="Calibri"/>
            </a:rPr>
            <a:t> ke dokumen SOP untuk penjelasan yang lebih rinci</a:t>
          </a:r>
          <a:endParaRPr b="0" lang="en-US" sz="1100" strike="noStrike" u="none">
            <a:uFillTx/>
            <a:latin typeface="Nimbus Roman"/>
          </a:endParaRPr>
        </a:p>
        <a:p>
          <a:pPr>
            <a:lnSpc>
              <a:spcPct val="100000"/>
            </a:lnSpc>
          </a:pPr>
          <a:endParaRPr b="0" lang="en-US" sz="1100" strike="noStrike" u="none">
            <a:uFillTx/>
            <a:latin typeface="Nimbus Roman"/>
          </a:endParaRPr>
        </a:p>
        <a:p>
          <a:pPr>
            <a:lnSpc>
              <a:spcPct val="100000"/>
            </a:lnSpc>
          </a:pPr>
          <a:r>
            <a:rPr b="0" lang="en-AU" sz="1100" strike="noStrike" u="none">
              <a:solidFill>
                <a:schemeClr val="dk1"/>
              </a:solidFill>
              <a:uFillTx/>
              <a:latin typeface="Calibri"/>
            </a:rPr>
            <a:t> </a:t>
          </a:r>
          <a:endParaRPr b="0" lang="en-US" sz="1100" strike="noStrike" u="none">
            <a:uFillTx/>
            <a:latin typeface="Nimbus Roman"/>
          </a:endParaRPr>
        </a:p>
      </xdr:txBody>
    </xdr:sp>
    <xdr:clientData/>
  </xdr:twoCellAnchor>
  <xdr:twoCellAnchor editAs="twoCell">
    <xdr:from>
      <xdr:col>8</xdr:col>
      <xdr:colOff>7560</xdr:colOff>
      <xdr:row>1</xdr:row>
      <xdr:rowOff>15120</xdr:rowOff>
    </xdr:from>
    <xdr:to>
      <xdr:col>12</xdr:col>
      <xdr:colOff>601560</xdr:colOff>
      <xdr:row>26</xdr:row>
      <xdr:rowOff>15480</xdr:rowOff>
    </xdr:to>
    <xdr:sp>
      <xdr:nvSpPr>
        <xdr:cNvPr id="61" name="TB_DWT_R"/>
        <xdr:cNvSpPr/>
      </xdr:nvSpPr>
      <xdr:spPr>
        <a:xfrm>
          <a:off x="12957120" y="295200"/>
          <a:ext cx="4127760" cy="619164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ru-RU" sz="1000" strike="noStrike" u="none">
              <a:uFillTx/>
              <a:latin typeface="Nimbus Roman"/>
            </a:rPr>
            <a:t>Шаг 4:</a:t>
          </a:r>
          <a:br/>
          <a:br/>
          <a:r>
            <a:rPr b="0" lang="ru-RU" sz="1000" strike="noStrike" u="none">
              <a:uFillTx/>
              <a:latin typeface="Nimbus Roman"/>
            </a:rPr>
            <a:t>Сначала введите фактической массы тяжелых и свет баз и плит.Массы частиц наборов передаются в этот лист из предыдущего.Предупреждение будет дано, если средний объем за 10% принятой отклонение от цели.</a:t>
          </a:r>
          <a:br/>
          <a:br/>
          <a:r>
            <a:rPr b="0" lang="ru-RU" sz="1000" strike="noStrike" u="none">
              <a:uFillTx/>
              <a:latin typeface="Nimbus Roman"/>
            </a:rPr>
            <a:t>Каждый набор частиц имеет назначенный уровень энергии для разрыва тестов. Вес должен быть выбран с помощью зеленой клетке раскрывающиеся списки, так что падение высоты всегда в 20 до 100 см диапазоне. Чтобы сократить время, необходимое для испытаний, можно свести к минимуму количество необходимых изменений веса за счет рационального выбора общей массы, которые будут использоваться на каждом энергетическом уровне.</a:t>
          </a:r>
          <a:br/>
          <a:br/>
          <a:r>
            <a:rPr b="0" lang="ru-RU" sz="1000" strike="noStrike" u="none">
              <a:uFillTx/>
              <a:latin typeface="Nimbus Roman"/>
            </a:rPr>
            <a:t>Все частицы в наборе должны быть разбиты в отдельности в тех же условиях, при этом фактическая высота падения соответствующие целевые, насколько это возможно.Предупреждение будет дано, если значения более чем на 5% от объекта. Для каждой поломки события, записать остаточный разрыв головы над опорой. Запишите число непрерывно или расколотые частиц в наборе.</a:t>
          </a:r>
          <a:br/>
          <a:br/>
          <a:r>
            <a:rPr b="0" lang="ru-RU" sz="1000" strike="noStrike" u="none">
              <a:uFillTx/>
              <a:latin typeface="Nimbus Roman"/>
            </a:rPr>
            <a:t>Распределение продуктов из всех частиц в наборе должны быть объединены и показаны на заданный размер сито. (Это зависит от диаметра сердцевины). Используйте экран выше этого размера, а также снизить нагрузку на нижний экран. Запись массы экран </a:t>
          </a:r>
          <a:r>
            <a:rPr b="0" lang="en-AU" sz="1000" strike="noStrike" u="none">
              <a:uFillTx/>
              <a:latin typeface="Nimbus Roman"/>
            </a:rPr>
            <a:t>O / S </a:t>
          </a:r>
          <a:r>
            <a:rPr b="0" lang="ru-RU" sz="1000" strike="noStrike" u="none">
              <a:uFillTx/>
              <a:latin typeface="Nimbus Roman"/>
            </a:rPr>
            <a:t>и </a:t>
          </a:r>
          <a:r>
            <a:rPr b="0" lang="en-AU" sz="1000" strike="noStrike" u="none">
              <a:uFillTx/>
              <a:latin typeface="Nimbus Roman"/>
            </a:rPr>
            <a:t>U / S. </a:t>
          </a:r>
          <a:r>
            <a:rPr b="0" lang="ru-RU" sz="1000" strike="noStrike" u="none">
              <a:uFillTx/>
              <a:latin typeface="Nimbus Roman"/>
            </a:rPr>
            <a:t>Любая потеря сито будет рассчитываться из этих цифр и предостережение, если есть проблемы.</a:t>
          </a:r>
          <a:br/>
          <a:br/>
          <a:r>
            <a:rPr b="0" lang="ru-RU" sz="1000" strike="noStrike" u="none">
              <a:uFillTx/>
              <a:latin typeface="Nimbus Roman"/>
            </a:rPr>
            <a:t>Отметим, что в тех случаях, когда камень имеет высокий </a:t>
          </a:r>
          <a:r>
            <a:rPr b="0" lang="en-AU" sz="1000" strike="noStrike" u="none">
              <a:uFillTx/>
              <a:latin typeface="Nimbus Roman"/>
            </a:rPr>
            <a:t>SG </a:t>
          </a:r>
          <a:r>
            <a:rPr b="0" lang="ru-RU" sz="1000" strike="noStrike" u="none">
              <a:uFillTx/>
              <a:latin typeface="Nimbus Roman"/>
            </a:rPr>
            <a:t>и / или вы имеете дело с более крупными частицами, оно не может быть возможным для достижения максимальной энергии целевой 3,5 кВтч / т. Если верхнее значение достижимо меньше, чем 3.5, то максимальное значение цель будет сбросить от 3,5 до все достижимо. Если этот максимум менее 3,2 кВтч / т, то в следующем энергии целевой ниже это будет повторно установить от 2,5 до 2,0 кВт · ч / т, с тем чтобы обеспечить более равномерное распределение по всей области энергий.</a:t>
          </a: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8</xdr:col>
      <xdr:colOff>0</xdr:colOff>
      <xdr:row>27</xdr:row>
      <xdr:rowOff>22680</xdr:rowOff>
    </xdr:from>
    <xdr:to>
      <xdr:col>12</xdr:col>
      <xdr:colOff>601560</xdr:colOff>
      <xdr:row>33</xdr:row>
      <xdr:rowOff>30960</xdr:rowOff>
    </xdr:to>
    <xdr:sp>
      <xdr:nvSpPr>
        <xdr:cNvPr id="62" name="TB2_DWT_R">
          <a:hlinkClick r:id="rId3"/>
        </xdr:cNvPr>
        <xdr:cNvSpPr/>
      </xdr:nvSpPr>
      <xdr:spPr>
        <a:xfrm>
          <a:off x="12949560" y="6741720"/>
          <a:ext cx="4135320" cy="1494000"/>
        </a:xfrm>
        <a:prstGeom prst="rect">
          <a:avLst/>
        </a:prstGeom>
        <a:solidFill>
          <a:srgbClr val="ffffff"/>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ru-RU" sz="1200" strike="noStrike" u="none">
              <a:solidFill>
                <a:srgbClr val="ff0000"/>
              </a:solidFill>
              <a:uFillTx/>
              <a:latin typeface="Calibri"/>
            </a:rPr>
            <a:t>Примечание:</a:t>
          </a:r>
          <a:br/>
          <a:r>
            <a:rPr b="0" lang="ru-RU" sz="1200" strike="noStrike" u="none">
              <a:solidFill>
                <a:srgbClr val="ff0000"/>
              </a:solidFill>
              <a:uFillTx/>
              <a:latin typeface="Calibri"/>
            </a:rPr>
            <a:t>Если вы используете метод разреза ядро, важно, чтобы изменить ориентацию квартале основной части, чтобы их нарушать, в соответствии с стандартный образ действий для этого теста. Нажав на это поле появится </a:t>
          </a:r>
          <a:r>
            <a:rPr b="0" lang="en-AU" sz="1200" strike="noStrike" u="none">
              <a:solidFill>
                <a:srgbClr val="ff0000"/>
              </a:solidFill>
              <a:uFillTx/>
              <a:latin typeface="Calibri"/>
            </a:rPr>
            <a:t>SOP </a:t>
          </a:r>
          <a:r>
            <a:rPr b="0" lang="ru-RU" sz="1200" strike="noStrike" u="none">
              <a:solidFill>
                <a:srgbClr val="ff0000"/>
              </a:solidFill>
              <a:uFillTx/>
              <a:latin typeface="Calibri"/>
            </a:rPr>
            <a:t>документ, и вы можете найти подробную информацию о необходимых направлениях в заключительном разделе.</a:t>
          </a:r>
          <a:endParaRPr b="0" lang="en-US" sz="1200" strike="noStrike" u="none">
            <a:uFillTx/>
            <a:latin typeface="Nimbus Roman"/>
          </a:endParaRPr>
        </a:p>
        <a:p>
          <a:pPr>
            <a:lnSpc>
              <a:spcPct val="100000"/>
            </a:lnSpc>
          </a:pPr>
          <a:endParaRPr b="0" lang="en-US" sz="1100" strike="noStrike" u="none">
            <a:uFillTx/>
            <a:latin typeface="Nimbus Roman"/>
          </a:endParaRPr>
        </a:p>
        <a:p>
          <a:pPr>
            <a:lnSpc>
              <a:spcPct val="100000"/>
            </a:lnSpc>
          </a:pPr>
          <a:r>
            <a:rPr b="0" lang="en-AU" sz="1100" strike="noStrike" u="none">
              <a:solidFill>
                <a:schemeClr val="dk1"/>
              </a:solidFill>
              <a:uFillTx/>
              <a:latin typeface="Calibri"/>
            </a:rPr>
            <a:t> </a:t>
          </a:r>
          <a:endParaRPr b="0" lang="en-US" sz="1100" strike="noStrike" u="none">
            <a:uFillTx/>
            <a:latin typeface="Nimbus Roman"/>
          </a:endParaRPr>
        </a:p>
      </xdr:txBody>
    </xdr:sp>
    <xdr:clientData/>
  </xdr:twoCellAnchor>
  <xdr:twoCellAnchor editAs="twoCell">
    <xdr:from>
      <xdr:col>8</xdr:col>
      <xdr:colOff>0</xdr:colOff>
      <xdr:row>1</xdr:row>
      <xdr:rowOff>15120</xdr:rowOff>
    </xdr:from>
    <xdr:to>
      <xdr:col>12</xdr:col>
      <xdr:colOff>601560</xdr:colOff>
      <xdr:row>26</xdr:row>
      <xdr:rowOff>15480</xdr:rowOff>
    </xdr:to>
    <xdr:sp>
      <xdr:nvSpPr>
        <xdr:cNvPr id="63" name="TB_DWT_S"/>
        <xdr:cNvSpPr/>
      </xdr:nvSpPr>
      <xdr:spPr>
        <a:xfrm>
          <a:off x="12949560" y="295200"/>
          <a:ext cx="4135320" cy="619164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Paso 4:</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Primero ingrese las masas reales de las bases y placas pesadas y livianas. Las masas de los sets de partículas son transferidos a esta hoja desde la anterior. Se dará una advertencia si el volumen medio está fuera del 10% aceptado </a:t>
          </a:r>
          <a:endParaRPr b="0" lang="en-US" sz="1000" strike="noStrike" u="none">
            <a:uFillTx/>
            <a:latin typeface="Nimbus Roman"/>
          </a:endParaRPr>
        </a:p>
        <a:p>
          <a:pPr>
            <a:lnSpc>
              <a:spcPct val="100000"/>
            </a:lnSpc>
          </a:pPr>
          <a:r>
            <a:rPr b="0" lang="en-AU" sz="1000" strike="noStrike" u="none">
              <a:solidFill>
                <a:srgbClr val="000000"/>
              </a:solidFill>
              <a:uFillTx/>
              <a:latin typeface="Arial"/>
            </a:rPr>
            <a:t>de variación respecto del objetivo.</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Cada set de partículas tiene un nivel de energía asignado por los tests de fractura. Los pesos deben ser seleccionados a través de la lista de selección (celda verde) de manera que la altura de caída esté siempre en el rango de 20 a 100cm. Para reducir el tiempo requerido por el test, usted puede minimizar el número de cambio necesarios, a través de una juiciosa selección del peso total a ser usado en cada nivel de energía.</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Todas las partículas en el set serán fracturdas individualmente bajo las mismas condiciones, con la altura real de caída igualando al objetivo lo más posible. Se dará una advertencia si los valores están  5% o más fuera del objetivo. Para cada evento de fractura, registre la altura residual desde la base hacia arriba. Registre el número de partículas intactas (no fracturadas) o saltadas en el set.</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Todos los productos de fractura de todas las partículas en un set serán mezcladas y tamizadas con un tamiz del tamaño especificado. (Esto depende del diámetro del testigo). Use un tamiz de tamaño mayor a este, de manera de reducir la carga en el tamiz inferior. Registre la masa del O/S y U/S del tamiz. Cualquier pérdida por tamizaje será calculada y se dará una advertencia si hay un problema.</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Note que en casos donde la roca tiene una alta densidad y/o si usted está tratando con partículas grandes, puede que no sea posible alcanzar el objetivo máximo de energía de 3.5 kWh/t. Si el valor máximo alcanzable es menor que 3.5, entonces el valor del objetivo máximo será reseteado desde 3.5 kWh/t hasta el valor que sea alcanzable. Si este máximo es menor que 3.2 kWh/t, entonces el siguiente objetivo (energía) bajo este será reseteado desde 2.5 a 2.0 kWh/t, para dar una distribución más uniforme a través de los rangos de energía.</a:t>
          </a: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8</xdr:col>
      <xdr:colOff>0</xdr:colOff>
      <xdr:row>27</xdr:row>
      <xdr:rowOff>15120</xdr:rowOff>
    </xdr:from>
    <xdr:to>
      <xdr:col>12</xdr:col>
      <xdr:colOff>601560</xdr:colOff>
      <xdr:row>33</xdr:row>
      <xdr:rowOff>27000</xdr:rowOff>
    </xdr:to>
    <xdr:sp>
      <xdr:nvSpPr>
        <xdr:cNvPr id="64" name="TB2_DWT_S">
          <a:hlinkClick r:id="rId4"/>
        </xdr:cNvPr>
        <xdr:cNvSpPr/>
      </xdr:nvSpPr>
      <xdr:spPr>
        <a:xfrm>
          <a:off x="12949560" y="6734160"/>
          <a:ext cx="4135320" cy="1497600"/>
        </a:xfrm>
        <a:prstGeom prst="rect">
          <a:avLst/>
        </a:prstGeom>
        <a:solidFill>
          <a:srgbClr val="ffffff"/>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es-ES" sz="1200" strike="noStrike" u="none">
              <a:solidFill>
                <a:srgbClr val="ff0000"/>
              </a:solidFill>
              <a:uFillTx/>
              <a:latin typeface="Calibri"/>
            </a:rPr>
            <a:t>Nota:</a:t>
          </a:r>
          <a:br/>
          <a:r>
            <a:rPr b="0" lang="es-ES" sz="1200" strike="noStrike" u="none">
              <a:solidFill>
                <a:srgbClr val="ff0000"/>
              </a:solidFill>
              <a:uFillTx/>
              <a:latin typeface="Calibri"/>
            </a:rPr>
            <a:t>Si se utiliza el método básico de corte, es importante para variar la orientación de las piezas de núcleo trimestre para ser rotas, de conformidad con el procedimiento operativo estándar para esta prueba. Al hacer clic en este cuadro de texto se abrirá el documento de SOP y se pueden encontrar los detalles de las orientaciones necesarias en el tramo final.</a:t>
          </a:r>
          <a:endParaRPr b="0" lang="en-US" sz="1200" strike="noStrike" u="none">
            <a:uFillTx/>
            <a:latin typeface="Nimbus Roman"/>
          </a:endParaRPr>
        </a:p>
        <a:p>
          <a:pPr>
            <a:lnSpc>
              <a:spcPct val="100000"/>
            </a:lnSpc>
          </a:pPr>
          <a:endParaRPr b="0" lang="en-US" sz="1100" strike="noStrike" u="none">
            <a:uFillTx/>
            <a:latin typeface="Nimbus Roman"/>
          </a:endParaRPr>
        </a:p>
        <a:p>
          <a:pPr>
            <a:lnSpc>
              <a:spcPts val="1199"/>
            </a:lnSpc>
          </a:pPr>
          <a:r>
            <a:rPr b="0" lang="en-AU" sz="1100" strike="noStrike" u="none">
              <a:solidFill>
                <a:schemeClr val="dk1"/>
              </a:solidFill>
              <a:uFillTx/>
              <a:latin typeface="Calibri"/>
            </a:rPr>
            <a:t> </a:t>
          </a:r>
          <a:endParaRPr b="0" lang="en-US" sz="1100" strike="noStrike" u="none">
            <a:uFillTx/>
            <a:latin typeface="Nimbus Roman"/>
          </a:endParaRPr>
        </a:p>
      </xdr:txBody>
    </xdr:sp>
    <xdr:clientData/>
  </xdr:twoCellAnchor>
  <xdr:twoCellAnchor editAs="twoCell">
    <xdr:from>
      <xdr:col>8</xdr:col>
      <xdr:colOff>0</xdr:colOff>
      <xdr:row>1</xdr:row>
      <xdr:rowOff>15120</xdr:rowOff>
    </xdr:from>
    <xdr:to>
      <xdr:col>12</xdr:col>
      <xdr:colOff>601560</xdr:colOff>
      <xdr:row>26</xdr:row>
      <xdr:rowOff>15480</xdr:rowOff>
    </xdr:to>
    <xdr:sp>
      <xdr:nvSpPr>
        <xdr:cNvPr id="65" name="TB_DWT_P"/>
        <xdr:cNvSpPr/>
      </xdr:nvSpPr>
      <xdr:spPr>
        <a:xfrm>
          <a:off x="12949560" y="295200"/>
          <a:ext cx="4135320" cy="619164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Passo 4:</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Primeiro insira a massa atual das bases pesada e leve. As massas dos conjuntos de partículas são transferidas da tabela anterior para esta automaticamente. Um aviso será dado se o volume médio estiver acima de 10% de variação do estipulado.</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Cada conjunto de partículas tem um nível de energia atribuído para os testes de quebra. Os pesos devem ser selecionados através das listas nas células verdes, assim a altura de queda vai estar sempre na faixa entre 20 e 100 cm. Para reduzir o tempo do teste, é possível reduzir o número de troca de pesos através de criteriosa seleção do peso total a ser utilizado em cada nível de energia.</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Todas as partículas do conjunto devem ser quebradas nas mesmas condições, com a altura de queda tão próxima da estipulda quanto possível. Um aviso será dado se o valor variar mais do que 5% do estipulado. Para cada evento de quebra, anotar a altura residual da cabeça acima da bigorna. Anotar o número de partículas ilesas e destruídas do conjunto.</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Os produtos da quebra de todas as partículas de cada conjunto devem ser combinados e peneirados em tela de tamanho especificado. (Este depende do diâmetro do testemunho). Use uma tela acima do tamanho estipulado para reduzir a carga na tela menor. Anote a massa do undersize e do oversize da peneira. Qualquer perda será calculada a partir desses números e um aviso será dado se houver algum problema.</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Note que nos casos em que a rocha tem uma alta densidade específica e/ou se trata de partículas grandes, pode ser que não seja possível chegar à energia máxima de 3.5 KWh/t. Se o máximo valor alcançado for menor que 3.5, então o máximo valor especificado será restabelecido para 3.5 qualquer que seja o calculado. Se este máximo for menor que 3.2 Kwh/t, então a próxima energia abaixo será restabelecida de 2.5 a 2.0 KWh/t, de modo a dar uma distribuição mais homogênea na faixa de  energia.</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endParaRPr b="0" lang="en-US" sz="1100" strike="noStrike" u="none">
            <a:uFillTx/>
            <a:latin typeface="Nimbus Roman"/>
          </a:endParaRPr>
        </a:p>
        <a:p>
          <a:pPr>
            <a:lnSpc>
              <a:spcPct val="100000"/>
            </a:lnSpc>
          </a:pPr>
          <a:endParaRPr b="0" lang="en-US" sz="1100" strike="noStrike" u="none">
            <a:uFillTx/>
            <a:latin typeface="Nimbus Roman"/>
          </a:endParaRPr>
        </a:p>
        <a:p>
          <a:pPr>
            <a:lnSpc>
              <a:spcPct val="100000"/>
            </a:lnSpc>
          </a:pPr>
          <a:endParaRPr b="0" lang="en-US" sz="1100" strike="noStrike" u="none">
            <a:uFillTx/>
            <a:latin typeface="Nimbus Roman"/>
          </a:endParaRPr>
        </a:p>
      </xdr:txBody>
    </xdr:sp>
    <xdr:clientData/>
  </xdr:twoCellAnchor>
  <xdr:twoCellAnchor editAs="twoCell">
    <xdr:from>
      <xdr:col>8</xdr:col>
      <xdr:colOff>0</xdr:colOff>
      <xdr:row>27</xdr:row>
      <xdr:rowOff>15120</xdr:rowOff>
    </xdr:from>
    <xdr:to>
      <xdr:col>12</xdr:col>
      <xdr:colOff>601560</xdr:colOff>
      <xdr:row>33</xdr:row>
      <xdr:rowOff>27000</xdr:rowOff>
    </xdr:to>
    <xdr:sp>
      <xdr:nvSpPr>
        <xdr:cNvPr id="66" name="TB2_DWT_P">
          <a:hlinkClick r:id="rId5"/>
        </xdr:cNvPr>
        <xdr:cNvSpPr/>
      </xdr:nvSpPr>
      <xdr:spPr>
        <a:xfrm>
          <a:off x="12949560" y="6734160"/>
          <a:ext cx="4135320" cy="1497600"/>
        </a:xfrm>
        <a:prstGeom prst="rect">
          <a:avLst/>
        </a:prstGeom>
        <a:solidFill>
          <a:srgbClr val="ffffff"/>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0" lang="pt-PT" sz="1200" strike="noStrike" u="none">
              <a:solidFill>
                <a:srgbClr val="ff0000"/>
              </a:solidFill>
              <a:uFillTx/>
              <a:latin typeface="Calibri"/>
            </a:rPr>
            <a:t>Nota:</a:t>
          </a:r>
          <a:br/>
          <a:r>
            <a:rPr b="0" lang="pt-PT" sz="1200" strike="noStrike" u="none">
              <a:solidFill>
                <a:srgbClr val="ff0000"/>
              </a:solidFill>
              <a:uFillTx/>
              <a:latin typeface="Calibri"/>
            </a:rPr>
            <a:t>Se estiver a utilizar o método de corte de núcleo, é importante para variar a orientação das peças de núcleo trimestre de ser quebrada, em conformidade com o procedimento padrão para este teste. Ao clicar nesta caixa de texto fará com que o documento SOP e você pode encontrar detalhes sobre as orientações necessárias na seção final.</a:t>
          </a:r>
          <a:endParaRPr b="0" lang="en-US" sz="1200" strike="noStrike" u="none">
            <a:uFillTx/>
            <a:latin typeface="Nimbus Roman"/>
          </a:endParaRPr>
        </a:p>
        <a:p>
          <a:pPr>
            <a:lnSpc>
              <a:spcPct val="100000"/>
            </a:lnSpc>
          </a:pPr>
          <a:endParaRPr b="0" lang="en-US" sz="1100" strike="noStrike" u="none">
            <a:uFillTx/>
            <a:latin typeface="Nimbus Roman"/>
          </a:endParaRPr>
        </a:p>
        <a:p>
          <a:pPr>
            <a:lnSpc>
              <a:spcPts val="1199"/>
            </a:lnSpc>
          </a:pPr>
          <a:r>
            <a:rPr b="0" lang="en-AU" sz="1100" strike="noStrike" u="none">
              <a:solidFill>
                <a:schemeClr val="dk1"/>
              </a:solidFill>
              <a:uFillTx/>
              <a:latin typeface="Calibri"/>
            </a:rPr>
            <a:t> </a:t>
          </a:r>
          <a:endParaRPr b="0" lang="en-US" sz="1100" strike="noStrike" u="none">
            <a:uFillTx/>
            <a:latin typeface="Nimbus Roman"/>
          </a:endParaRPr>
        </a:p>
      </xdr:txBody>
    </xdr:sp>
    <xdr:clientData/>
  </xdr:twoCellAnchor>
  <xdr:twoCellAnchor editAs="twoCell">
    <xdr:from>
      <xdr:col>8</xdr:col>
      <xdr:colOff>0</xdr:colOff>
      <xdr:row>1</xdr:row>
      <xdr:rowOff>15120</xdr:rowOff>
    </xdr:from>
    <xdr:to>
      <xdr:col>12</xdr:col>
      <xdr:colOff>601560</xdr:colOff>
      <xdr:row>26</xdr:row>
      <xdr:rowOff>15480</xdr:rowOff>
    </xdr:to>
    <xdr:sp>
      <xdr:nvSpPr>
        <xdr:cNvPr id="67" name="TB_DWT_E"/>
        <xdr:cNvSpPr/>
      </xdr:nvSpPr>
      <xdr:spPr>
        <a:xfrm>
          <a:off x="12949560" y="295200"/>
          <a:ext cx="4135320" cy="619164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n-AU" sz="1000" strike="noStrike" u="none">
              <a:solidFill>
                <a:srgbClr val="000000"/>
              </a:solidFill>
              <a:uFillTx/>
              <a:latin typeface="Arial"/>
            </a:rPr>
            <a:t>Step 4:</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First enter the actual masses of the heavy &amp; light bases and plates.  The masses of the particle sets are transferred into this sheet from the previous one.  A warning will be given if the mean volume is outside the 10% accepted variation from the target.</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Each set of particles has an assigned energy level for the breakage tests.  Weights should be selected via the green cell drop-downs so that the drop heights are always in the 20 to 100 cm range.  To reduce the time required for the test, you can minimize the number of weight changes needed, through judicious selection of the total weight to be used at each energy level. </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All particles in a set are to be broken individually under the same conditions, with the actual drop height matching the target as closely as possible.  A warning will be given if the values are more than 5% off the target.  For each breakage event, record the residual gap of the head above the anvil.  Record the number of unbroken or chipped particles in the set.</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Breakage products from all particles in a set are to be combined and screened at the specified sieve size.  (This depends on the core diameter).   Use a screen above this size as well to reduce the load on the lower screen.    Record the mass of the screen o/s and u/s.  Any sieve loss will be calculated from these figures and a warning given if there is a problem.</a:t>
          </a:r>
          <a:endParaRPr b="0" lang="en-US" sz="1000" strike="noStrike" u="none">
            <a:uFillTx/>
            <a:latin typeface="Nimbus Roman"/>
          </a:endParaRPr>
        </a:p>
        <a:p>
          <a:pPr>
            <a:lnSpc>
              <a:spcPct val="100000"/>
            </a:lnSpc>
          </a:pPr>
          <a:endParaRPr b="0" lang="en-US" sz="1000" strike="noStrike" u="none">
            <a:uFillTx/>
            <a:latin typeface="Nimbus Roman"/>
          </a:endParaRPr>
        </a:p>
        <a:p>
          <a:pPr>
            <a:lnSpc>
              <a:spcPct val="100000"/>
            </a:lnSpc>
          </a:pPr>
          <a:r>
            <a:rPr b="0" lang="en-AU" sz="1000" strike="noStrike" u="none">
              <a:solidFill>
                <a:srgbClr val="000000"/>
              </a:solidFill>
              <a:uFillTx/>
              <a:latin typeface="Arial"/>
            </a:rPr>
            <a:t>Note that in cases where the rock has a high SG and/or you are dealing with larger particles, it may not be possible to achieve the maximum target energy of 3.5 kWh/t.  If the top value achievable is less than 3.5, then the maximum target value will be reset from 3.5 to whatever is achievable.  If this maximum is less than 3.2 kWh/t, then the next target energy below this will be re-set from 2.5 to 2.0 kWh/t, so as to give a more even distribution across the energy range.</a:t>
          </a:r>
          <a:endParaRPr b="0" lang="en-US" sz="1000" strike="noStrike" u="none">
            <a:uFillTx/>
            <a:latin typeface="Nimbus Roman"/>
          </a:endParaRPr>
        </a:p>
        <a:p>
          <a:pPr>
            <a:lnSpc>
              <a:spcPct val="100000"/>
            </a:lnSpc>
          </a:pPr>
          <a:endParaRPr b="0" lang="en-US" sz="1000" strike="noStrike" u="none">
            <a:uFillTx/>
            <a:latin typeface="Nimbus Roman"/>
          </a:endParaRPr>
        </a:p>
      </xdr:txBody>
    </xdr:sp>
    <xdr:clientData/>
  </xdr:twoCellAnchor>
  <xdr:twoCellAnchor editAs="twoCell">
    <xdr:from>
      <xdr:col>8</xdr:col>
      <xdr:colOff>0</xdr:colOff>
      <xdr:row>27</xdr:row>
      <xdr:rowOff>22680</xdr:rowOff>
    </xdr:from>
    <xdr:to>
      <xdr:col>12</xdr:col>
      <xdr:colOff>601560</xdr:colOff>
      <xdr:row>33</xdr:row>
      <xdr:rowOff>30960</xdr:rowOff>
    </xdr:to>
    <xdr:sp>
      <xdr:nvSpPr>
        <xdr:cNvPr id="68" name="TB2_DWT_E">
          <a:hlinkClick r:id="rId6"/>
        </xdr:cNvPr>
        <xdr:cNvSpPr/>
      </xdr:nvSpPr>
      <xdr:spPr>
        <a:xfrm>
          <a:off x="12949560" y="6741720"/>
          <a:ext cx="4135320" cy="1494000"/>
        </a:xfrm>
        <a:prstGeom prst="rect">
          <a:avLst/>
        </a:prstGeom>
        <a:solidFill>
          <a:srgbClr val="ffffff"/>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r>
            <a:rPr b="1" lang="en-AU" sz="1100" strike="noStrike" u="none">
              <a:solidFill>
                <a:srgbClr val="ff0000"/>
              </a:solidFill>
              <a:uFillTx/>
              <a:latin typeface="Calibri"/>
            </a:rPr>
            <a:t>Note:</a:t>
          </a:r>
          <a:endParaRPr b="0" lang="en-US" sz="1100" strike="noStrike" u="none">
            <a:uFillTx/>
            <a:latin typeface="Nimbus Roman"/>
          </a:endParaRPr>
        </a:p>
        <a:p>
          <a:pPr>
            <a:lnSpc>
              <a:spcPct val="100000"/>
            </a:lnSpc>
          </a:pPr>
          <a:r>
            <a:rPr b="0" lang="en-AU" sz="1100" strike="noStrike" u="none">
              <a:solidFill>
                <a:srgbClr val="ff0000"/>
              </a:solidFill>
              <a:uFillTx/>
              <a:latin typeface="Calibri"/>
            </a:rPr>
            <a:t>If you are using the cut core method, it is  important to vary the orientation of the quarter core pieces to be broken, in accordance with the Standard Operating Procedure for this test. Clicking on this text box will  bring up the SOP document and you can find details of the  required orientations in the final section. </a:t>
          </a:r>
          <a:endParaRPr b="0" lang="en-US" sz="1100" strike="noStrike" u="none">
            <a:uFillTx/>
            <a:latin typeface="Nimbus Roman"/>
          </a:endParaRPr>
        </a:p>
        <a:p>
          <a:pPr>
            <a:lnSpc>
              <a:spcPct val="100000"/>
            </a:lnSpc>
          </a:pPr>
          <a:endParaRPr b="0" lang="en-US" sz="1100" strike="noStrike" u="none">
            <a:uFillTx/>
            <a:latin typeface="Nimbus Roman"/>
          </a:endParaRPr>
        </a:p>
        <a:p>
          <a:pPr>
            <a:lnSpc>
              <a:spcPct val="100000"/>
            </a:lnSpc>
          </a:pPr>
          <a:r>
            <a:rPr b="0" lang="en-AU" sz="1100" strike="noStrike" u="none">
              <a:solidFill>
                <a:schemeClr val="dk1"/>
              </a:solidFill>
              <a:uFillTx/>
              <a:latin typeface="Calibri"/>
            </a:rPr>
            <a:t> </a:t>
          </a:r>
          <a:endParaRPr b="0" lang="en-US" sz="1100" strike="noStrike" u="none">
            <a:uFillTx/>
            <a:latin typeface="Nimbus Roman"/>
          </a:endParaRPr>
        </a:p>
      </xdr:txBody>
    </xdr:sp>
    <xdr:clientData/>
  </xdr:twoCellAnchor>
  <xdr:twoCellAnchor editAs="twoCell">
    <xdr:from>
      <xdr:col>8</xdr:col>
      <xdr:colOff>0</xdr:colOff>
      <xdr:row>27</xdr:row>
      <xdr:rowOff>22680</xdr:rowOff>
    </xdr:from>
    <xdr:to>
      <xdr:col>12</xdr:col>
      <xdr:colOff>601560</xdr:colOff>
      <xdr:row>33</xdr:row>
      <xdr:rowOff>30960</xdr:rowOff>
    </xdr:to>
    <xdr:sp>
      <xdr:nvSpPr>
        <xdr:cNvPr id="69" name="TB2_DWT_Blank"/>
        <xdr:cNvSpPr/>
      </xdr:nvSpPr>
      <xdr:spPr>
        <a:xfrm>
          <a:off x="12949560" y="6741720"/>
          <a:ext cx="4135320" cy="1494000"/>
        </a:xfrm>
        <a:prstGeom prst="rect">
          <a:avLst/>
        </a:prstGeom>
        <a:solidFill>
          <a:srgbClr val="ffffff"/>
        </a:solidFill>
        <a:ln w="9525">
          <a:solidFill>
            <a:srgbClr val="ffffff">
              <a:shade val="50000"/>
            </a:srgbClr>
          </a:solidFill>
          <a:round/>
        </a:ln>
      </xdr:spPr>
      <xdr:style>
        <a:lnRef idx="0"/>
        <a:fillRef idx="0"/>
        <a:effectRef idx="0"/>
        <a:fontRef idx="minor"/>
      </xdr:style>
      <xdr:txBody>
        <a:bodyPr vertOverflow="clip" lIns="90000" rIns="90000" tIns="45000" bIns="45000" anchor="t">
          <a:noAutofit/>
        </a:bodyPr>
        <a:p>
          <a:pPr>
            <a:lnSpc>
              <a:spcPct val="100000"/>
            </a:lnSpc>
          </a:pPr>
          <a:endParaRPr b="0" lang="en-US" sz="1100" strike="noStrike" u="none">
            <a:uFillTx/>
            <a:latin typeface="Nimbus Roman"/>
          </a:endParaRPr>
        </a:p>
        <a:p>
          <a:pPr>
            <a:lnSpc>
              <a:spcPct val="100000"/>
            </a:lnSpc>
          </a:pPr>
          <a:r>
            <a:rPr b="0" lang="en-AU" sz="1100" strike="noStrike" u="none">
              <a:solidFill>
                <a:schemeClr val="dk1"/>
              </a:solidFill>
              <a:uFillTx/>
              <a:latin typeface="Calibri"/>
            </a:rPr>
            <a:t> </a:t>
          </a:r>
          <a:endParaRPr b="0" lang="en-US" sz="1100" strike="noStrike" u="none">
            <a:uFillTx/>
            <a:latin typeface="Nimbus Roman"/>
          </a:endParaRPr>
        </a:p>
      </xdr:txBody>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15</xdr:col>
      <xdr:colOff>313920</xdr:colOff>
      <xdr:row>37</xdr:row>
      <xdr:rowOff>61560</xdr:rowOff>
    </xdr:to>
    <xdr:graphicFrame>
      <xdr:nvGraphicFramePr>
        <xdr:cNvPr id="70" name="Chart 1"/>
        <xdr:cNvGraphicFramePr/>
      </xdr:nvGraphicFramePr>
      <xdr:xfrm>
        <a:off x="0" y="0"/>
        <a:ext cx="9305640" cy="60764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http://hardrock/JKMetLab/Data%20Entry%20Templates/Comminution%20Templates/JK%20Drop%20Weight%20Index%20Test/JKTech%20DWTest%20Data%20Entry.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itial Data Entry"/>
      <sheetName val="Test Results Entry"/>
      <sheetName val="DWT Sample Prep"/>
      <sheetName val="Weights &amp; Heights"/>
      <sheetName val="Sort Weight Data"/>
      <sheetName val="Data Recording Sheets"/>
      <sheetName val="Worksheet - Abras, Dens"/>
      <sheetName val="Histogram Calcs"/>
      <sheetName val="Export"/>
      <sheetName val="Temp"/>
      <sheetName val="Ht_Wt Calculations"/>
      <sheetName val="Pre-Start Check"/>
      <sheetName val="Macr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4.xml"/><Relationship Id="rId3"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drawing" Target="../drawings/drawing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J356"/>
  <sheetViews>
    <sheetView showFormulas="false" showGridLines="true" showRowColHeaders="true" showZeros="true" rightToLeft="false" tabSelected="true" showOutlineSymbols="true" defaultGridColor="true" view="normal" topLeftCell="A14" colorId="64" zoomScale="85" zoomScaleNormal="85" zoomScalePageLayoutView="100" workbookViewId="0">
      <selection pane="topLeft" activeCell="A39" activeCellId="0" sqref="A39:A48"/>
    </sheetView>
  </sheetViews>
  <sheetFormatPr defaultColWidth="8.54296875" defaultRowHeight="12.75" zeroHeight="false" outlineLevelRow="0" outlineLevelCol="0"/>
  <cols>
    <col collapsed="false" customWidth="true" hidden="false" outlineLevel="0" max="1" min="1" style="0" width="58.57"/>
    <col collapsed="false" customWidth="true" hidden="false" outlineLevel="0" max="2" min="2" style="0" width="22.42"/>
    <col collapsed="false" customWidth="true" hidden="false" outlineLevel="0" max="4" min="3" style="0" width="22.71"/>
    <col collapsed="false" customWidth="true" hidden="false" outlineLevel="0" max="5" min="5" style="0" width="4.57"/>
    <col collapsed="false" customWidth="true" hidden="false" outlineLevel="0" max="6" min="6" style="0" width="12.86"/>
    <col collapsed="false" customWidth="true" hidden="false" outlineLevel="0" max="7" min="7" style="0" width="12.29"/>
    <col collapsed="false" customWidth="true" hidden="false" outlineLevel="0" max="9" min="8" style="0" width="10.71"/>
    <col collapsed="false" customWidth="true" hidden="false" outlineLevel="0" max="10" min="10" style="0" width="11.57"/>
    <col collapsed="false" customWidth="true" hidden="false" outlineLevel="0" max="11" min="11" style="0" width="10.42"/>
    <col collapsed="false" customWidth="true" hidden="false" outlineLevel="0" max="12" min="12" style="0" width="11.43"/>
    <col collapsed="false" customWidth="true" hidden="false" outlineLevel="0" max="14" min="13" style="0" width="10.71"/>
    <col collapsed="false" customWidth="true" hidden="false" outlineLevel="0" max="16" min="15" style="0" width="10.57"/>
    <col collapsed="false" customWidth="true" hidden="false" outlineLevel="0" max="18" min="18" style="0" width="5"/>
    <col collapsed="false" customWidth="true" hidden="false" outlineLevel="0" max="28" min="28" style="0" width="25"/>
    <col collapsed="false" customWidth="true" hidden="false" outlineLevel="0" max="33" min="29" style="0" width="44"/>
    <col collapsed="false" customWidth="true" hidden="false" outlineLevel="0" max="34" min="34" style="0" width="40.85"/>
    <col collapsed="false" customWidth="true" hidden="false" outlineLevel="0" max="35" min="35" style="0" width="41"/>
    <col collapsed="false" customWidth="true" hidden="false" outlineLevel="0" max="36" min="36" style="0" width="16.29"/>
  </cols>
  <sheetData>
    <row r="1" customFormat="false" ht="22.05" hidden="false" customHeight="false" outlineLevel="0" collapsed="false">
      <c r="A1" s="1" t="str">
        <f aca="false">VLOOKUP("SMC Test - Test Definition Sheet",Language_Translation_Table,Language_Code,FALSE())</f>
        <v>Тест SMC - Исходные данные</v>
      </c>
      <c r="B1" s="1"/>
      <c r="D1" s="2" t="s">
        <v>0</v>
      </c>
      <c r="F1" s="3"/>
    </row>
    <row r="2" customFormat="false" ht="12.75" hidden="false" customHeight="false" outlineLevel="0" collapsed="false">
      <c r="G2" s="4" t="str">
        <f aca="false">VLOOKUP("target particle sizes",Language_Translation_Table,Language_Code,FALSE())</f>
        <v>Целевые размеры кусков</v>
      </c>
      <c r="H2" s="4"/>
      <c r="I2" s="4"/>
      <c r="J2" s="4"/>
      <c r="K2" s="4"/>
      <c r="L2" s="4"/>
      <c r="M2" s="4"/>
      <c r="N2" s="4"/>
      <c r="O2" s="4"/>
      <c r="P2" s="4"/>
      <c r="AB2" s="5" t="s">
        <v>1</v>
      </c>
    </row>
    <row r="3" customFormat="false" ht="17.25" hidden="false" customHeight="true" outlineLevel="0" collapsed="false">
      <c r="A3" s="2" t="str">
        <f aca="false">VLOOKUP("Client:",Language_Translation_Table,Language_Code,FALSE())</f>
        <v>Заказчик:</v>
      </c>
      <c r="B3" s="6" t="s">
        <v>2</v>
      </c>
      <c r="C3" s="6"/>
      <c r="D3" s="6"/>
      <c r="G3" s="7" t="str">
        <f aca="false">VLOOKUP("Nominal Core Diam. (mm)",Language_Translation_Table,Language_Code,FALSE())</f>
        <v>Номин. диаметр керна (мм) </v>
      </c>
      <c r="H3" s="8" t="str">
        <f aca="false">VLOOKUP("target",Language_Translation_Table,Language_Code,FALSE())</f>
        <v>Цель</v>
      </c>
      <c r="I3" s="8" t="str">
        <f aca="false">VLOOKUP("Nominal Core Diam. (mm)",Language_Translation_Table,Language_Code,FALSE())</f>
        <v>Номин. диаметр керна (мм) </v>
      </c>
      <c r="J3" s="7" t="str">
        <f aca="false">VLOOKUP("1/4 Core Length (mm)",Language_Translation_Table,Language_Code,FALSE())</f>
        <v>Длина 1/4 керна (мм)</v>
      </c>
      <c r="K3" s="7" t="str">
        <f aca="false">VLOOKUP("tolerance (mm)",Language_Translation_Table,Language_Code,FALSE())</f>
        <v>Допуск (мм)</v>
      </c>
      <c r="L3" s="7" t="str">
        <f aca="false">VLOOKUP("screen aperture (mm)",Language_Translation_Table,Language_Code,FALSE())</f>
        <v>Отверстие сита (мм)</v>
      </c>
      <c r="M3" s="8" t="str">
        <f aca="false">VLOOKUP("core diameter range",Language_Translation_Table,Language_Code,FALSE())</f>
        <v>Инт. диаметра керна</v>
      </c>
      <c r="N3" s="8" t="str">
        <f aca="false">VLOOKUP("Nominal Core Diam. (mm)",Language_Translation_Table,Language_Code,FALSE())</f>
        <v>Номин. диаметр керна (мм) </v>
      </c>
      <c r="O3" s="8" t="str">
        <f aca="false">VLOOKUP("core volume range",Language_Translation_Table,Language_Code,FALSE())</f>
        <v>Инт. объема керна</v>
      </c>
      <c r="P3" s="8" t="str">
        <f aca="false">VLOOKUP("Nominal Core Diam. (mm)",Language_Translation_Table,Language_Code,FALSE())</f>
        <v>Номин. диаметр керна (мм) </v>
      </c>
      <c r="AB3" s="9" t="str">
        <f aca="false">INDEX(Client,0,1) &amp; " - " &amp; INDEX(Sample_Source,0,1) &amp; " (" &amp; INDEX(Sample_ID,0,1) &amp; ")"</f>
        <v>HGE - Лугоканское (ЛТП LU23-029 (CU-AU))</v>
      </c>
    </row>
    <row r="4" customFormat="false" ht="17.25" hidden="false" customHeight="true" outlineLevel="0" collapsed="false">
      <c r="A4" s="2" t="str">
        <f aca="false">IF(TestLab="JKTech Pty Ltd","JKTech (Navision) Job Number",IF(ISNA(VLOOKUP(TestLab,TestLabsAbb,2,FALSE())),TestLab,VLOOKUP(TestLab,TestLabsAbb,2,FALSE())) &amp; IF(TestLab="",""," ") &amp; VLOOKUP("Project Name or Number:",Language_Translation_Table,Language_Code,FALSE()))</f>
        <v>Highland Exploration Имя или номер проекта:</v>
      </c>
      <c r="B4" s="6" t="s">
        <v>3</v>
      </c>
      <c r="C4" s="6"/>
      <c r="D4" s="6"/>
      <c r="G4" s="7"/>
      <c r="H4" s="10" t="str">
        <f aca="false">VLOOKUP("Volume cu. cm", Language_Translation_Table,Language_Code,FALSE())</f>
        <v>Объем (см3)</v>
      </c>
      <c r="I4" s="10" t="str">
        <f aca="false">VLOOKUP("mass (g)", Language_Translation_Table,Language_Code,FALSE())</f>
        <v>Масса (г)</v>
      </c>
      <c r="J4" s="7"/>
      <c r="K4" s="7"/>
      <c r="L4" s="7"/>
      <c r="M4" s="10" t="str">
        <f aca="false">VLOOKUP("Minimum (mm)", Language_Translation_Table,Language_Code,FALSE())</f>
        <v>Минимум (мм)</v>
      </c>
      <c r="N4" s="10" t="str">
        <f aca="false">VLOOKUP("Maximum (mm)", Language_Translation_Table,Language_Code,FALSE())</f>
        <v>Максимум (мм)</v>
      </c>
      <c r="O4" s="10" t="str">
        <f aca="false">VLOOKUP("Minimum (cu. cm)", Language_Translation_Table,Language_Code,FALSE())</f>
        <v>Минимум (см3)</v>
      </c>
      <c r="P4" s="10" t="str">
        <f aca="false">VLOOKUP("Maximum (cu. cm)", Language_Translation_Table,Language_Code,FALSE())</f>
        <v>Максимум (см3)</v>
      </c>
    </row>
    <row r="5" customFormat="false" ht="17.25" hidden="false" customHeight="true" outlineLevel="0" collapsed="false">
      <c r="A5" s="2" t="str">
        <f aca="false">VLOOKUP("Client Sample Identification:",Language_Translation_Table,Language_Code,FALSE())</f>
        <v>Идентификация образца клиента:</v>
      </c>
      <c r="B5" s="6" t="s">
        <v>4</v>
      </c>
      <c r="C5" s="6"/>
      <c r="D5" s="6"/>
      <c r="G5" s="7"/>
      <c r="H5" s="10"/>
      <c r="I5" s="10"/>
      <c r="J5" s="7"/>
      <c r="K5" s="7"/>
      <c r="L5" s="7"/>
      <c r="M5" s="10"/>
      <c r="N5" s="10"/>
      <c r="O5" s="10"/>
      <c r="P5" s="10"/>
    </row>
    <row r="6" customFormat="false" ht="17.25" hidden="false" customHeight="true" outlineLevel="0" collapsed="false">
      <c r="A6" s="2" t="str">
        <f aca="false">VLOOKUP("Deposit / Sample Source:",Language_Translation_Table,Language_Code,FALSE())</f>
        <v>Месторождение /поставщик руды:</v>
      </c>
      <c r="B6" s="6" t="s">
        <v>3</v>
      </c>
      <c r="C6" s="6"/>
      <c r="D6" s="6"/>
      <c r="E6" s="11"/>
      <c r="F6" s="11" t="str">
        <f aca="false">IF(Particle_Type_Code = 1,R6,S6)</f>
        <v>32.3 to 39.4 mm</v>
      </c>
      <c r="G6" s="12" t="n">
        <f aca="false">(L6/0.0179)^(1/1.2158)</f>
        <v>36.2884251580202</v>
      </c>
      <c r="H6" s="12" t="n">
        <f aca="false">0.75*(L6)^3</f>
        <v>2.10241575</v>
      </c>
      <c r="I6" s="13" t="n">
        <f aca="false">H6*Mean_SG</f>
        <v>5.94109502610641</v>
      </c>
      <c r="J6" s="13" t="n">
        <f aca="false">H6/((G6/20)^2*PI()*0.25)*10</f>
        <v>8.13115929078877</v>
      </c>
      <c r="K6" s="14" t="n">
        <v>1</v>
      </c>
      <c r="L6" s="14" t="n">
        <v>1.41</v>
      </c>
      <c r="M6" s="13" t="n">
        <f aca="false">((O6/0.75)^(1/3)/0.0179)^(1/1.2158)</f>
        <v>32.3036425952901</v>
      </c>
      <c r="N6" s="13" t="n">
        <f aca="false">((P6/0.75)^(1/3)/0.0179)^(1/1.2158)</f>
        <v>39.3664052727302</v>
      </c>
      <c r="O6" s="15" t="n">
        <f aca="false">H6-(P6-H6)/H6*H6</f>
        <v>1.375511625</v>
      </c>
      <c r="P6" s="16" t="n">
        <f aca="false">H6+(H7-H6)/2</f>
        <v>2.829319875</v>
      </c>
      <c r="R6" s="11" t="str">
        <f aca="false">TEXT(M6,"#0.0") &amp; " to " &amp; TEXT(N6,"#0.0") &amp; " mm"</f>
        <v>32.3 to 39.4 mm</v>
      </c>
      <c r="S6" s="11" t="str">
        <f aca="false">"-16.0+13.2 mm"</f>
        <v>-16.0+13.2 mm</v>
      </c>
    </row>
    <row r="7" customFormat="false" ht="17.25" hidden="false" customHeight="true" outlineLevel="0" collapsed="false">
      <c r="A7" s="2" t="str">
        <f aca="false">VLOOKUP("Operator:",Language_Translation_Table,Language_Code,FALSE())</f>
        <v>Оператор:</v>
      </c>
      <c r="B7" s="6" t="s">
        <v>5</v>
      </c>
      <c r="C7" s="6"/>
      <c r="D7" s="6"/>
      <c r="E7" s="17" t="n">
        <v>3</v>
      </c>
      <c r="F7" s="11" t="str">
        <f aca="false">IF(Particle_Type_Code = 1,R7,S7)</f>
        <v>39.5 to 45.4 mm</v>
      </c>
      <c r="G7" s="12" t="n">
        <f aca="false">(L7/0.0179)^(1/1.2158)</f>
        <v>41.9133686103473</v>
      </c>
      <c r="H7" s="12" t="n">
        <f aca="false">0.75*(L7)^3</f>
        <v>3.556224</v>
      </c>
      <c r="I7" s="13" t="n">
        <f aca="false">H7*Mean_SG</f>
        <v>10.0493276451721</v>
      </c>
      <c r="J7" s="13" t="n">
        <f aca="false">H7/((G7/20)^2*PI()*0.25)*10</f>
        <v>10.3098912634069</v>
      </c>
      <c r="K7" s="14" t="n">
        <v>1.5</v>
      </c>
      <c r="L7" s="14" t="n">
        <v>1.68</v>
      </c>
      <c r="M7" s="13" t="n">
        <f aca="false">N6+0.1</f>
        <v>39.4664052727302</v>
      </c>
      <c r="N7" s="13" t="n">
        <f aca="false">((P7/0.75)^(1/3)/0.0179)^(1/1.2158)</f>
        <v>45.4484755342633</v>
      </c>
      <c r="O7" s="16" t="n">
        <f aca="false">P6</f>
        <v>2.829319875</v>
      </c>
      <c r="P7" s="16" t="n">
        <f aca="false">H7+(H8-H7)/2</f>
        <v>4.778112</v>
      </c>
      <c r="R7" s="11" t="str">
        <f aca="false">TEXT(M7,"#0.0") &amp; " to " &amp; TEXT(N7,"#0.0") &amp; " mm"</f>
        <v>39.5 to 45.4 mm</v>
      </c>
      <c r="S7" s="11" t="str">
        <f aca="false">""</f>
        <v/>
      </c>
    </row>
    <row r="8" customFormat="false" ht="17.25" hidden="false" customHeight="true" outlineLevel="0" collapsed="false">
      <c r="A8" s="2" t="str">
        <f aca="false">VLOOKUP("Test Date:",Language_Translation_Table,Language_Code,FALSE()) &amp; "  ('dd/mm/yyyy')"</f>
        <v>Дата теста:  ('dd/mm/yyyy')</v>
      </c>
      <c r="B8" s="18" t="n">
        <v>45202</v>
      </c>
      <c r="C8" s="19" t="str">
        <f aca="false">VLOOKUP("Machine ID:",Language_Translation_Table,Language_Code,FALSE())</f>
        <v>Машина ID:</v>
      </c>
      <c r="D8" s="6"/>
      <c r="F8" s="11" t="str">
        <f aca="false">IF(Particle_Type_Code = 1,R8,S8)</f>
        <v>45.5 to 52.7 mm</v>
      </c>
      <c r="G8" s="12" t="n">
        <f aca="false">(L8/0.0179)^(1/1.2158)</f>
        <v>48.3763540766649</v>
      </c>
      <c r="H8" s="12" t="n">
        <f aca="false">0.75*(L8)^3</f>
        <v>6</v>
      </c>
      <c r="I8" s="13" t="n">
        <f aca="false">H8*Mean_SG</f>
        <v>16.9550528512919</v>
      </c>
      <c r="J8" s="13" t="n">
        <f aca="false">H8/((G8/20)^2*PI()*0.25)*10</f>
        <v>13.0573513915851</v>
      </c>
      <c r="K8" s="14" t="n">
        <v>1.5</v>
      </c>
      <c r="L8" s="14" t="n">
        <v>2</v>
      </c>
      <c r="M8" s="13" t="n">
        <f aca="false">N7+0.1</f>
        <v>45.5484755342633</v>
      </c>
      <c r="N8" s="13" t="n">
        <f aca="false">((P8/0.75)^(1/3)/0.0179)^(1/1.2158)</f>
        <v>52.6738311393983</v>
      </c>
      <c r="O8" s="16" t="n">
        <f aca="false">P7</f>
        <v>4.778112</v>
      </c>
      <c r="P8" s="16" t="n">
        <f aca="false">H8+(H9-H8)/2</f>
        <v>8.184</v>
      </c>
      <c r="R8" s="11" t="str">
        <f aca="false">TEXT(M8,"#0.0") &amp; " to " &amp; TEXT(N8,"#0.0") &amp; " mm"</f>
        <v>45.5 to 52.7 mm</v>
      </c>
      <c r="S8" s="11" t="str">
        <f aca="false">"-22.4+19.0 mm"</f>
        <v>-22.4+19.0 mm</v>
      </c>
    </row>
    <row r="9" customFormat="false" ht="17.25" hidden="false" customHeight="true" outlineLevel="0" collapsed="false">
      <c r="A9" s="2" t="str">
        <f aca="false">IF(TestLab="JKTech Pty Ltd","JKTech (WinLIMS) Sample Number",IF(ISNA(VLOOKUP(TestLab,TestLabsAbb,2,FALSE())),TestLab,VLOOKUP(TestLab,TestLabsAbb,2,FALSE())) &amp; IF(TestLab="",""," ") &amp; VLOOKUP("Sample Number:",Language_Translation_Table,Language_Code,FALSE()))</f>
        <v>Highland Exploration Номер образца:</v>
      </c>
      <c r="B9" s="6"/>
      <c r="C9" s="6"/>
      <c r="D9" s="6"/>
      <c r="F9" s="11" t="str">
        <f aca="false">IF(Particle_Type_Code = 1,R9,S9)</f>
        <v>52.8 to 60.3 mm</v>
      </c>
      <c r="G9" s="12" t="n">
        <f aca="false">(L9/0.0179)^(1/1.2158)</f>
        <v>56.2030652648134</v>
      </c>
      <c r="H9" s="12" t="n">
        <f aca="false">0.75*(L9)^3</f>
        <v>10.368</v>
      </c>
      <c r="I9" s="13" t="n">
        <f aca="false">H9*Mean_SG</f>
        <v>29.2983313270324</v>
      </c>
      <c r="J9" s="13" t="n">
        <f aca="false">H9/((G9/20)^2*PI()*0.25)*10</f>
        <v>16.7164900436625</v>
      </c>
      <c r="K9" s="14" t="n">
        <v>2</v>
      </c>
      <c r="L9" s="14" t="n">
        <v>2.4</v>
      </c>
      <c r="M9" s="13" t="n">
        <f aca="false">N8+0.1</f>
        <v>52.7738311393983</v>
      </c>
      <c r="N9" s="13" t="n">
        <f aca="false">((P9/0.75)^(1/3)/0.0179)^(1/1.2158)</f>
        <v>60.318020945681</v>
      </c>
      <c r="O9" s="16" t="n">
        <f aca="false">P8</f>
        <v>8.184</v>
      </c>
      <c r="P9" s="16" t="n">
        <f aca="false">H9+(H10-H9)/2</f>
        <v>13.416</v>
      </c>
      <c r="R9" s="11" t="str">
        <f aca="false">TEXT(M9,"#0.0") &amp; " to " &amp; TEXT(N9,"#0.0") &amp; " mm"</f>
        <v>52.8 to 60.3 mm</v>
      </c>
      <c r="S9" s="11" t="str">
        <f aca="false">""</f>
        <v/>
      </c>
      <c r="U9" s="20"/>
    </row>
    <row r="10" customFormat="false" ht="17.25" hidden="false" customHeight="true" outlineLevel="0" collapsed="false">
      <c r="A10" s="21" t="s">
        <v>6</v>
      </c>
      <c r="B10" s="22" t="s">
        <v>7</v>
      </c>
      <c r="C10" s="22" t="s">
        <v>8</v>
      </c>
      <c r="D10" s="22" t="str">
        <f aca="false">VLOOKUP("Mean Mass (g)",Language_Translation_Table,Language_Code,FALSE())</f>
        <v>Средняя масса (г)</v>
      </c>
      <c r="F10" s="11" t="str">
        <f aca="false">IF(Particle_Type_Code = 1,R10,S10)</f>
        <v>60.4 to 69.4 mm</v>
      </c>
      <c r="G10" s="12" t="n">
        <f aca="false">(L10/0.0179)^(1/1.2158)</f>
        <v>63.8004856379267</v>
      </c>
      <c r="H10" s="12" t="n">
        <f aca="false">0.75*(L10)^3</f>
        <v>16.464</v>
      </c>
      <c r="I10" s="13" t="n">
        <f aca="false">H10*Mean_SG</f>
        <v>46.5246650239449</v>
      </c>
      <c r="J10" s="13" t="n">
        <f aca="false">H10/((G10/20)^2*PI()*0.25)*10</f>
        <v>20.5995388590344</v>
      </c>
      <c r="K10" s="14" t="n">
        <v>2</v>
      </c>
      <c r="L10" s="14" t="n">
        <v>2.8</v>
      </c>
      <c r="M10" s="13" t="n">
        <f aca="false">N9+0.1</f>
        <v>60.418020945681</v>
      </c>
      <c r="N10" s="13" t="n">
        <f aca="false">((P10/0.75)^(1/3)/0.0179)^(1/1.2158)</f>
        <v>69.3605367445741</v>
      </c>
      <c r="O10" s="16" t="n">
        <f aca="false">P9</f>
        <v>13.416</v>
      </c>
      <c r="P10" s="16" t="n">
        <f aca="false">H10+(H11-H10)/2</f>
        <v>22.330265625</v>
      </c>
      <c r="R10" s="11" t="str">
        <f aca="false">TEXT(M10,"#0.0") &amp; " to " &amp; TEXT(N10,"#0.0") &amp; " mm"</f>
        <v>60.4 to 69.4 mm</v>
      </c>
      <c r="S10" s="11" t="str">
        <f aca="false">"-31.5+26.5 mm"</f>
        <v>-31.5+26.5 mm</v>
      </c>
      <c r="U10" s="20"/>
    </row>
    <row r="11" customFormat="false" ht="17.25" hidden="false" customHeight="true" outlineLevel="0" collapsed="false">
      <c r="A11" s="23" t="n">
        <v>1</v>
      </c>
      <c r="B11" s="24" t="n">
        <f aca="false">'Тестирование DW'!B33</f>
        <v>0.244352092908021</v>
      </c>
      <c r="C11" s="24" t="n">
        <f aca="false">'Тестирование DW'!B43</f>
        <v>11.5687086092715</v>
      </c>
      <c r="D11" s="24" t="n">
        <f aca="false">'Тестирование DW'!D15</f>
        <v>48.435</v>
      </c>
      <c r="F11" s="11" t="str">
        <f aca="false">IF(Particle_Type_Code = 1,R11,S11)</f>
        <v>69.5 to 79.9 mm</v>
      </c>
      <c r="G11" s="12" t="n">
        <f aca="false">(L11/0.0179)^(1/1.2158)</f>
        <v>73.9411406294956</v>
      </c>
      <c r="H11" s="12" t="n">
        <f aca="false">0.75*(L11)^3</f>
        <v>28.19653125</v>
      </c>
      <c r="I11" s="13" t="n">
        <f aca="false">H11*Mean_SG</f>
        <v>79.6789462611422</v>
      </c>
      <c r="J11" s="13" t="n">
        <f aca="false">H11/((G11/20)^2*PI()*0.25)*10</f>
        <v>26.2659735672156</v>
      </c>
      <c r="K11" s="14" t="n">
        <v>2.5</v>
      </c>
      <c r="L11" s="14" t="n">
        <v>3.35</v>
      </c>
      <c r="M11" s="13" t="n">
        <f aca="false">N10+0.1</f>
        <v>69.460536744574</v>
      </c>
      <c r="N11" s="13" t="n">
        <f aca="false">((P11/0.75)^(1/3)/0.0179)^(1/1.2158)</f>
        <v>79.8865353478593</v>
      </c>
      <c r="O11" s="16" t="n">
        <f aca="false">P10</f>
        <v>22.330265625</v>
      </c>
      <c r="P11" s="16" t="n">
        <f aca="false">H11+(H12-H11)/2</f>
        <v>37.385441625</v>
      </c>
      <c r="R11" s="11" t="str">
        <f aca="false">TEXT(M11,"#0.0") &amp; " to " &amp; TEXT(N11,"#0.0") &amp; " mm"</f>
        <v>69.5 to 79.9 mm</v>
      </c>
      <c r="S11" s="11" t="str">
        <f aca="false">""</f>
        <v/>
      </c>
      <c r="U11" s="20"/>
    </row>
    <row r="12" customFormat="false" ht="17.25" hidden="false" customHeight="true" outlineLevel="0" collapsed="false">
      <c r="A12" s="25" t="n">
        <v>2</v>
      </c>
      <c r="B12" s="26" t="n">
        <f aca="false">'Тестирование DW'!C33</f>
        <v>0.495186318988334</v>
      </c>
      <c r="C12" s="26" t="n">
        <f aca="false">'Тестирование DW'!C43</f>
        <v>20.7849695061971</v>
      </c>
      <c r="D12" s="26" t="n">
        <f aca="false">'Тестирование DW'!D16</f>
        <v>51.005</v>
      </c>
      <c r="F12" s="11" t="str">
        <f aca="false">IF(Particle_Type_Code = 1,R12,S12)</f>
        <v>80.0 to 89.1 mm</v>
      </c>
      <c r="G12" s="27" t="n">
        <f aca="false">(L12/0.0179)^(1/1.2158)</f>
        <v>84.8479495075586</v>
      </c>
      <c r="H12" s="27" t="n">
        <f aca="false">0.75*(L12)^3</f>
        <v>46.574352</v>
      </c>
      <c r="I12" s="28" t="n">
        <f aca="false">H12*Mean_SG</f>
        <v>131.611766612445</v>
      </c>
      <c r="J12" s="28" t="n">
        <f aca="false">H12/((G12/20)^2*PI()*0.25)*10</f>
        <v>32.9483923154067</v>
      </c>
      <c r="K12" s="29" t="n">
        <v>3</v>
      </c>
      <c r="L12" s="29" t="n">
        <v>3.96</v>
      </c>
      <c r="M12" s="28" t="n">
        <f aca="false">N11+0.1</f>
        <v>79.9865353478593</v>
      </c>
      <c r="N12" s="28" t="n">
        <f aca="false">((P12/0.75)^(1/3)/0.0179)^(1/1.2158)</f>
        <v>89.1418518562961</v>
      </c>
      <c r="O12" s="30" t="n">
        <f aca="false">P11</f>
        <v>37.385441625</v>
      </c>
      <c r="P12" s="30" t="n">
        <f aca="false">H12+(H12-O12)/H12*H12</f>
        <v>55.763262375</v>
      </c>
      <c r="R12" s="11" t="str">
        <f aca="false">TEXT(M12,"#0.0") &amp; " to " &amp; TEXT(N12,"#0.0") &amp; " mm"</f>
        <v>80.0 to 89.1 mm</v>
      </c>
      <c r="S12" s="11" t="str">
        <f aca="false">""</f>
        <v/>
      </c>
      <c r="U12" s="20"/>
    </row>
    <row r="13" customFormat="false" ht="17.25" hidden="false" customHeight="true" outlineLevel="0" collapsed="false">
      <c r="A13" s="25" t="n">
        <v>3</v>
      </c>
      <c r="B13" s="26" t="n">
        <f aca="false">'Тестирование DW'!D33</f>
        <v>0.996852108702532</v>
      </c>
      <c r="C13" s="26" t="n">
        <f aca="false">'Тестирование DW'!D43</f>
        <v>32.9230769230769</v>
      </c>
      <c r="D13" s="26" t="n">
        <f aca="false">'Тестирование DW'!D17</f>
        <v>50.56</v>
      </c>
      <c r="G13" s="0" t="str">
        <f aca="false">VLOOKUP("* For cores of less than 32 mm diameter, please refer to JKTech for recommendations.",Language_Translation_Table,Language_Code,FALSE())</f>
        <v>* при диаметре керна менее 32 мм обратитесь в JKTech за рекомендациями</v>
      </c>
    </row>
    <row r="14" customFormat="false" ht="17.25" hidden="false" customHeight="true" outlineLevel="0" collapsed="false">
      <c r="A14" s="25" t="n">
        <v>4</v>
      </c>
      <c r="B14" s="26" t="n">
        <f aca="false">'Тестирование DW'!E33</f>
        <v>1.82238351345853</v>
      </c>
      <c r="C14" s="26" t="n">
        <f aca="false">'Тестирование DW'!E43</f>
        <v>45.0373427672956</v>
      </c>
      <c r="D14" s="26" t="n">
        <f aca="false">'Тестирование DW'!D18</f>
        <v>51.12</v>
      </c>
    </row>
    <row r="15" customFormat="false" ht="12.75" hidden="false" customHeight="false" outlineLevel="0" collapsed="false">
      <c r="A15" s="31" t="n">
        <v>5</v>
      </c>
      <c r="B15" s="32" t="n">
        <f aca="false">'Тестирование DW'!F33</f>
        <v>2.65576636436667</v>
      </c>
      <c r="C15" s="32" t="n">
        <f aca="false">'Тестирование DW'!F43</f>
        <v>52.7958387516255</v>
      </c>
      <c r="D15" s="32" t="n">
        <f aca="false">'Тестирование DW'!D19</f>
        <v>50.29</v>
      </c>
    </row>
    <row r="16" customFormat="false" ht="15" hidden="false" customHeight="false" outlineLevel="0" collapsed="false">
      <c r="A16" s="21" t="str">
        <f aca="false">VLOOKUP("Mean SG",Language_Translation_Table,Language_Code,FALSE())</f>
        <v>Средняя плотность</v>
      </c>
      <c r="B16" s="32" t="n">
        <f aca="false">Mean_SG</f>
        <v>2.82584214188198</v>
      </c>
      <c r="L16" s="33"/>
      <c r="M16" s="33"/>
    </row>
    <row r="17" customFormat="false" ht="12.75" hidden="false" customHeight="false" outlineLevel="0" collapsed="false">
      <c r="C17" s="11"/>
      <c r="L17" s="34"/>
      <c r="M17" s="34"/>
    </row>
    <row r="19" customFormat="false" ht="15" hidden="false" customHeight="false" outlineLevel="0" collapsed="false">
      <c r="A19" s="35"/>
      <c r="D19" s="17" t="n">
        <f aca="false">VLOOKUP(Language,Language_Code_Table,2,FALSE())</f>
        <v>3</v>
      </c>
    </row>
    <row r="20" customFormat="false" ht="18" hidden="false" customHeight="true" outlineLevel="0" collapsed="false">
      <c r="A20" s="2" t="str">
        <f aca="false">VLOOKUP("Test Laboratory:",Language_Translation_Table,Language_Code,FALSE())</f>
        <v>Испытательная лаборатория:</v>
      </c>
      <c r="B20" s="36" t="s">
        <v>9</v>
      </c>
      <c r="C20" s="36"/>
      <c r="D20" s="36"/>
      <c r="R20" s="11" t="s">
        <v>10</v>
      </c>
      <c r="S20" s="11" t="s">
        <v>11</v>
      </c>
      <c r="AD20" s="37" t="str">
        <f aca="false">IF(Language= "English",R20,S20)</f>
        <v>Seleccione el rango qu incluye el diámetro del testigo:</v>
      </c>
    </row>
    <row r="21" customFormat="false" ht="12.75" hidden="false" customHeight="false" outlineLevel="0" collapsed="false">
      <c r="A21" s="38" t="str">
        <f aca="false">IF(NumParticles&lt;100,VLOOKUP("Note: Test carried out with selection tolerance increased to 35% and number of particles reduced to ",Language_Translation_Table,Language_Code,FALSE()) &amp; NumParticles &amp; ".",IF(MassRange=0.35,VLOOKUP("Note: Test carried out with selection tolerance increased to 35%.",Language_Translation_Table,Language_Code,FALSE()),""))</f>
        <v/>
      </c>
      <c r="B21" s="37"/>
      <c r="D21" s="39"/>
      <c r="R21" s="11" t="s">
        <v>12</v>
      </c>
      <c r="S21" s="11" t="s">
        <v>13</v>
      </c>
      <c r="AD21" s="37" t="str">
        <f aca="false">IF(Language= "English",R21,S21)</f>
        <v>Seleccione los rangos de tamaño objetivo:</v>
      </c>
    </row>
    <row r="22" customFormat="false" ht="15" hidden="false" customHeight="false" outlineLevel="0" collapsed="false">
      <c r="A22" s="2"/>
      <c r="D22" s="39"/>
      <c r="R22" s="11" t="s">
        <v>14</v>
      </c>
      <c r="S22" s="11" t="s">
        <v>15</v>
      </c>
      <c r="AD22" s="37" t="str">
        <f aca="false">IF(Language = "English",R22,S22)</f>
        <v>(Seleccione el tamaño más grueso posible, en función del tamaño máximo de la muestra y la cantidad disponible.)</v>
      </c>
    </row>
    <row r="23" customFormat="false" ht="15" hidden="false" customHeight="false" outlineLevel="0" collapsed="false">
      <c r="A23" s="40" t="str">
        <f aca="false">VLOOKUP("Language:",Language_Translation_Table,Language_Code,FALSE())</f>
        <v>Язык:</v>
      </c>
      <c r="C23" s="11"/>
      <c r="D23" s="41" t="s">
        <v>16</v>
      </c>
      <c r="F23" s="42"/>
      <c r="G23" s="42"/>
      <c r="H23" s="42"/>
      <c r="I23" s="42"/>
      <c r="J23" s="42"/>
      <c r="K23" s="42"/>
      <c r="L23" s="42"/>
      <c r="M23" s="42"/>
      <c r="N23" s="42"/>
      <c r="O23" s="42"/>
      <c r="P23" s="42"/>
    </row>
    <row r="24" customFormat="false" ht="12.75" hidden="false" customHeight="false" outlineLevel="0" collapsed="false">
      <c r="E24" s="11"/>
      <c r="F24" s="42"/>
      <c r="G24" s="42"/>
      <c r="H24" s="42"/>
      <c r="I24" s="42"/>
      <c r="J24" s="42"/>
      <c r="K24" s="42"/>
      <c r="L24" s="42"/>
      <c r="M24" s="42"/>
      <c r="N24" s="42"/>
      <c r="O24" s="42"/>
      <c r="P24" s="42"/>
    </row>
    <row r="25" customFormat="false" ht="12.75" hidden="false" customHeight="false" outlineLevel="0" collapsed="false">
      <c r="D25" s="17" t="n">
        <f aca="false">VLOOKUP(Starting_Material,Starting_Material_Code_Table,2,FALSE())</f>
        <v>2</v>
      </c>
      <c r="E25" s="11"/>
      <c r="F25" s="42"/>
      <c r="G25" s="42"/>
      <c r="H25" s="42"/>
      <c r="I25" s="42"/>
      <c r="J25" s="42"/>
      <c r="K25" s="42"/>
      <c r="L25" s="42"/>
      <c r="M25" s="42"/>
      <c r="N25" s="42"/>
      <c r="O25" s="42"/>
      <c r="P25" s="42"/>
    </row>
    <row r="26" customFormat="false" ht="13.8" hidden="false" customHeight="false" outlineLevel="0" collapsed="false">
      <c r="A26" s="43" t="str">
        <f aca="false">VLOOKUP("Starting Material is:",Language_Translation_Table,Language_Code,FALSE())</f>
        <v>Исходный материал:</v>
      </c>
      <c r="B26" s="43"/>
      <c r="D26" s="44" t="s">
        <v>17</v>
      </c>
      <c r="E26" s="17" t="n">
        <v>2</v>
      </c>
      <c r="F26" s="45"/>
      <c r="G26" s="45"/>
      <c r="H26" s="45"/>
      <c r="I26" s="45"/>
      <c r="J26" s="45"/>
      <c r="K26" s="45"/>
      <c r="L26" s="45"/>
      <c r="M26" s="45"/>
      <c r="N26" s="45"/>
    </row>
    <row r="27" customFormat="false" ht="12.75" hidden="false" customHeight="false" outlineLevel="0" collapsed="false">
      <c r="F27" s="45"/>
      <c r="G27" s="45"/>
      <c r="H27" s="45"/>
      <c r="I27" s="45"/>
      <c r="J27" s="45"/>
      <c r="K27" s="45"/>
      <c r="L27" s="45"/>
      <c r="M27" s="45"/>
      <c r="N27" s="45"/>
    </row>
    <row r="28" customFormat="false" ht="12.75" hidden="false" customHeight="false" outlineLevel="0" collapsed="false">
      <c r="A28" s="11" t="s">
        <v>18</v>
      </c>
      <c r="D28" s="17" t="n">
        <f aca="false">VLOOKUP(Particle_Type,Particle_Type_Code_Table,2,FALSE())</f>
        <v>1</v>
      </c>
      <c r="F28" s="45"/>
      <c r="G28" s="45"/>
      <c r="H28" s="45"/>
      <c r="I28" s="45"/>
      <c r="J28" s="45"/>
      <c r="K28" s="45"/>
      <c r="L28" s="45"/>
      <c r="M28" s="45"/>
      <c r="N28" s="45"/>
    </row>
    <row r="29" customFormat="false" ht="13.8" hidden="false" customHeight="false" outlineLevel="0" collapsed="false">
      <c r="A29" s="43" t="str">
        <f aca="false">VLOOKUP("tests to be carried out on:",Language_Translation_Table,Language_Code,FALSE())</f>
        <v>Тестируемый материал:</v>
      </c>
      <c r="B29" s="43"/>
      <c r="C29" s="17" t="str">
        <f aca="false">IF(Language = "Spanish","Roca Fracturada","Broken Rock")</f>
        <v>Broken Rock</v>
      </c>
      <c r="D29" s="44" t="s">
        <v>19</v>
      </c>
      <c r="E29" s="17" t="n">
        <v>1</v>
      </c>
    </row>
    <row r="30" customFormat="false" ht="12.75" hidden="false" customHeight="false" outlineLevel="0" collapsed="false">
      <c r="A30" s="11"/>
      <c r="C30" s="46" t="str">
        <f aca="false">IF(Language = "Spanish",IF(D26="Particulas de Roca","","Testigo Cuarteado"),IF(D26="Rock Pieces","","Quartered Core"))</f>
        <v>Quartered Core</v>
      </c>
    </row>
    <row r="31" customFormat="false" ht="12.75" hidden="false" customHeight="false" outlineLevel="0" collapsed="false">
      <c r="D31" s="47" t="str">
        <f aca="false">IF(OR(AND(Particle_Type_Code = 1,MID(Particle_Range,6,1)="+"),AND(Particle_Type_Code = 2,MID(Particle_Range,6,2)="to")),VLOOKUP("Please re-set the range in the drop-down below.",Language_Translation_Table,Language_Code,FALSE()),"")</f>
        <v/>
      </c>
    </row>
    <row r="32" customFormat="false" ht="13.8" hidden="false" customHeight="false" outlineLevel="0" collapsed="false">
      <c r="A32" s="43" t="str">
        <f aca="false">IF(Particle_Type_Code = 1,VLOOKUP("Select range that includes your core diameter:",Language_Translation_Table,Language_Code,FALSE()),VLOOKUP("Select screen size range to be targeted:",Language_Translation_Table,Language_Code,FALSE()))</f>
        <v>Выберите интервал диаметра керна:</v>
      </c>
      <c r="B32" s="43"/>
      <c r="D32" s="48" t="s">
        <v>20</v>
      </c>
    </row>
    <row r="33" customFormat="false" ht="12.75" hidden="false" customHeight="false" outlineLevel="0" collapsed="false">
      <c r="A33" s="0" t="str">
        <f aca="false">IF(Particle_Type_Code = 2,VLOOKUP("(Select coarsest screen size possible, given the sample top size and amount available.)",Language_Translation_Table,Language_Code,FALSE()),"")</f>
        <v/>
      </c>
      <c r="D33" s="47"/>
      <c r="M33" s="49"/>
    </row>
    <row r="36" customFormat="false" ht="12.75" hidden="false" customHeight="false" outlineLevel="0" collapsed="false">
      <c r="D36" s="17" t="n">
        <f aca="false">IF(Starting_Material_Code = 1,4,IF(Starting_Material_Code = 2,2,1))</f>
        <v>2</v>
      </c>
    </row>
    <row r="37" customFormat="false" ht="13.8" hidden="false" customHeight="false" outlineLevel="0" collapsed="false">
      <c r="A37" s="43" t="str">
        <f aca="false">VLOOKUP("Corresponding Nominal Core Diameter Targeted:",Language_Translation_Table,Language_Code,FALSE())</f>
        <v>Соответствующий номинальный диаметр керна</v>
      </c>
      <c r="D37" s="50" t="n">
        <f aca="false">IF(D32&lt;&gt;"",VLOOKUP(D32,RangeVMean,2,FALSE()),"")</f>
        <v>63.8004856379267</v>
      </c>
    </row>
    <row r="39" customFormat="false" ht="13.8" hidden="false" customHeight="false" outlineLevel="0" collapsed="false">
      <c r="A39" s="43" t="str">
        <f aca="false">VLOOKUP("Estimate of Density for Sample Requirements:",Language_Translation_Table,Language_Code,FALSE())</f>
        <v>Ориентировочная плотность для оценки массы пробы:</v>
      </c>
      <c r="D39" s="51" t="n">
        <v>2.83</v>
      </c>
    </row>
    <row r="41" customFormat="false" ht="13.8" hidden="false" customHeight="false" outlineLevel="0" collapsed="false">
      <c r="A41" s="43" t="str">
        <f aca="false">VLOOKUP("Approximate Length of Starting Material Required:",Language_Translation_Table,Language_Code,FALSE())</f>
        <v>Приблизительная необходимая длина исходного материала:</v>
      </c>
      <c r="B41" s="43"/>
      <c r="C41" s="52"/>
      <c r="D41" s="53" t="n">
        <f aca="false">IF(Particle_Type_Code &lt;&gt; 2, (VLOOKUP(Core_Diam,DiamVTarget,4)+2)*100/D36/1000*3, IF(Starting_Material_Code = 4,VLOOKUP("Not Applicable",Language_Translation_Table,Language_Code,FALSE()),D43*1000*4/D39/PI()/(Core_Diam/10)^2*4/D36/100))</f>
        <v>3.38993082885515</v>
      </c>
    </row>
    <row r="43" customFormat="false" ht="13.8" hidden="false" customHeight="false" outlineLevel="0" collapsed="false">
      <c r="A43" s="43" t="str">
        <f aca="false">VLOOKUP("Approximate sample mass required:",Language_Translation_Table,Language_Code,FALSE())</f>
        <v>Приблизительная необходимая масса исходного материала:</v>
      </c>
      <c r="B43" s="43"/>
      <c r="D43" s="54" t="n">
        <f aca="false">IF(Particle_Type_Code = 2,20,D39*PI()*(Core_Diam/10)^2/4/4*D36*D41*100/1000)</f>
        <v>15.335047544647</v>
      </c>
    </row>
    <row r="45" customFormat="false" ht="13.8" hidden="false" customHeight="false" outlineLevel="0" collapsed="false">
      <c r="A45" s="43" t="s">
        <v>21</v>
      </c>
    </row>
    <row r="46" customFormat="false" ht="12.75" hidden="false" customHeight="true" outlineLevel="0" collapsed="false">
      <c r="A46" s="55"/>
      <c r="B46" s="56"/>
      <c r="C46" s="56"/>
      <c r="D46" s="56"/>
      <c r="E46" s="56"/>
      <c r="F46" s="56"/>
      <c r="G46" s="56"/>
      <c r="H46" s="56"/>
      <c r="I46" s="56"/>
      <c r="J46" s="56"/>
      <c r="K46" s="56"/>
      <c r="L46" s="56"/>
      <c r="M46" s="56"/>
      <c r="N46" s="56"/>
      <c r="O46" s="56"/>
      <c r="P46" s="57"/>
    </row>
    <row r="47" customFormat="false" ht="12.75" hidden="false" customHeight="true" outlineLevel="0" collapsed="false">
      <c r="A47" s="58"/>
      <c r="B47" s="59"/>
      <c r="C47" s="59"/>
      <c r="D47" s="59"/>
      <c r="E47" s="59"/>
      <c r="F47" s="59"/>
      <c r="G47" s="59"/>
      <c r="H47" s="59"/>
      <c r="I47" s="59"/>
      <c r="J47" s="59"/>
      <c r="K47" s="59"/>
      <c r="L47" s="59"/>
      <c r="M47" s="59"/>
      <c r="N47" s="59"/>
      <c r="O47" s="59"/>
      <c r="P47" s="60"/>
    </row>
    <row r="48" customFormat="false" ht="12.75" hidden="false" customHeight="true" outlineLevel="0" collapsed="false">
      <c r="A48" s="58"/>
      <c r="B48" s="59"/>
      <c r="C48" s="59"/>
      <c r="D48" s="59"/>
      <c r="E48" s="59"/>
      <c r="F48" s="59"/>
      <c r="G48" s="59"/>
      <c r="H48" s="59"/>
      <c r="I48" s="59"/>
      <c r="J48" s="59"/>
      <c r="K48" s="59"/>
      <c r="L48" s="59"/>
      <c r="M48" s="59"/>
      <c r="N48" s="59"/>
      <c r="O48" s="59"/>
      <c r="P48" s="60"/>
    </row>
    <row r="49" customFormat="false" ht="12.75" hidden="false" customHeight="true" outlineLevel="0" collapsed="false">
      <c r="A49" s="61"/>
      <c r="B49" s="62"/>
      <c r="C49" s="62"/>
      <c r="D49" s="62"/>
      <c r="E49" s="62"/>
      <c r="F49" s="62"/>
      <c r="G49" s="62"/>
      <c r="H49" s="62"/>
      <c r="I49" s="62"/>
      <c r="J49" s="62"/>
      <c r="K49" s="62"/>
      <c r="L49" s="62"/>
      <c r="M49" s="62"/>
      <c r="N49" s="62"/>
      <c r="O49" s="62"/>
      <c r="P49" s="63"/>
      <c r="AB49" s="5" t="s">
        <v>22</v>
      </c>
      <c r="AD49" s="5" t="s">
        <v>23</v>
      </c>
    </row>
    <row r="50" customFormat="false" ht="12.75" hidden="false" customHeight="false" outlineLevel="0" collapsed="false">
      <c r="AB50" s="64" t="str">
        <f aca="false">"-31.5+26.5 mm"</f>
        <v>-31.5+26.5 mm</v>
      </c>
      <c r="AD50" s="64" t="str">
        <f aca="false">TEXT(M12,"#0.0") &amp; " to " &amp; TEXT(N12,"#0.0") &amp; " mm"</f>
        <v>80.0 to 89.1 mm</v>
      </c>
    </row>
    <row r="51" customFormat="false" ht="12.75" hidden="false" customHeight="false" outlineLevel="0" collapsed="false">
      <c r="AB51" s="64" t="str">
        <f aca="false">"-22.4+19.0 mm"</f>
        <v>-22.4+19.0 mm</v>
      </c>
      <c r="AD51" s="64" t="str">
        <f aca="false">TEXT(M11,"#0.0") &amp; " to " &amp; TEXT(N11,"#0.0") &amp; " mm"</f>
        <v>69.5 to 79.9 mm</v>
      </c>
    </row>
    <row r="52" customFormat="false" ht="12.75" hidden="false" customHeight="false" outlineLevel="0" collapsed="false">
      <c r="AB52" s="64" t="str">
        <f aca="false">"-16.0+13.2 mm"</f>
        <v>-16.0+13.2 mm</v>
      </c>
      <c r="AD52" s="64" t="str">
        <f aca="false">TEXT(M10,"#0.0") &amp; " to " &amp; TEXT(N10,"#0.0") &amp; " mm"</f>
        <v>60.4 to 69.4 mm</v>
      </c>
    </row>
    <row r="53" customFormat="false" ht="12.75" hidden="false" customHeight="false" outlineLevel="0" collapsed="false">
      <c r="AD53" s="64" t="str">
        <f aca="false">TEXT(M9,"#0.0") &amp; " to " &amp; TEXT(N9,"#0.0") &amp; " mm"</f>
        <v>52.8 to 60.3 mm</v>
      </c>
    </row>
    <row r="54" customFormat="false" ht="12.75" hidden="false" customHeight="false" outlineLevel="0" collapsed="false">
      <c r="AD54" s="64" t="str">
        <f aca="false">TEXT(M8,"#0.0") &amp; " to " &amp; TEXT(N8,"#0.0") &amp; " mm"</f>
        <v>45.5 to 52.7 mm</v>
      </c>
    </row>
    <row r="55" customFormat="false" ht="12.75" hidden="false" customHeight="false" outlineLevel="0" collapsed="false">
      <c r="AD55" s="64" t="str">
        <f aca="false">TEXT(M7,"#0.0") &amp; " to " &amp; TEXT(N7,"#0.0") &amp; " mm"</f>
        <v>39.5 to 45.4 mm</v>
      </c>
    </row>
    <row r="56" customFormat="false" ht="12.75" hidden="false" customHeight="false" outlineLevel="0" collapsed="false">
      <c r="AD56" s="64" t="str">
        <f aca="false">TEXT(M6,"#0.0") &amp; " to " &amp; TEXT(N6,"#0.0") &amp; " mm"</f>
        <v>32.3 to 39.4 mm</v>
      </c>
    </row>
    <row r="58" customFormat="false" ht="12.75" hidden="false" customHeight="false" outlineLevel="0" collapsed="false">
      <c r="AB58" s="5" t="s">
        <v>24</v>
      </c>
      <c r="AC58" s="5"/>
    </row>
    <row r="59" customFormat="false" ht="12.75" hidden="false" customHeight="false" outlineLevel="0" collapsed="false">
      <c r="AB59" s="65" t="str">
        <f aca="false">VLOOKUP("Wt in Water (g)",Language_Translation_Table,Language_Code,FALSE())</f>
        <v>Масса в воде (г)</v>
      </c>
      <c r="AC59" s="66" t="n">
        <v>1</v>
      </c>
      <c r="AD59" s="67" t="str">
        <f aca="false">AB59</f>
        <v>Масса в воде (г)</v>
      </c>
    </row>
    <row r="60" customFormat="false" ht="12.75" hidden="false" customHeight="false" outlineLevel="0" collapsed="false">
      <c r="AB60" s="65" t="str">
        <f aca="false">VLOOKUP("wt loss in water (g)",Language_Translation_Table,Language_Code,FALSE())</f>
        <v>Потеря массы в воде (г)</v>
      </c>
      <c r="AC60" s="68" t="n">
        <v>2</v>
      </c>
      <c r="AD60" s="69" t="str">
        <f aca="false">AB60</f>
        <v>Потеря массы в воде (г)</v>
      </c>
    </row>
    <row r="61" customFormat="false" ht="12.75" hidden="false" customHeight="false" outlineLevel="0" collapsed="false">
      <c r="AB61" s="65" t="str">
        <f aca="false">VLOOKUP("SG Measurement",Language_Translation_Table,Language_Code,FALSE())</f>
        <v>Определение плотности</v>
      </c>
      <c r="AC61" s="70" t="n">
        <v>3</v>
      </c>
      <c r="AD61" s="71" t="str">
        <f aca="false">AB61</f>
        <v>Определение плотности</v>
      </c>
    </row>
    <row r="63" customFormat="false" ht="12.75" hidden="false" customHeight="false" outlineLevel="0" collapsed="false">
      <c r="AB63" s="72" t="s">
        <v>25</v>
      </c>
    </row>
    <row r="65" customFormat="false" ht="12.75" hidden="false" customHeight="false" outlineLevel="0" collapsed="false">
      <c r="AB65" s="5" t="s">
        <v>26</v>
      </c>
      <c r="AC65" s="5" t="s">
        <v>27</v>
      </c>
    </row>
    <row r="66" customFormat="false" ht="12.75" hidden="false" customHeight="false" outlineLevel="0" collapsed="false">
      <c r="AB66" s="65" t="str">
        <f aca="false">VLOOKUP("Whole Core",Language_Translation_Table,Language_Code,FALSE())</f>
        <v>Целый керн</v>
      </c>
      <c r="AC66" s="66" t="n">
        <v>1</v>
      </c>
      <c r="AD66" s="67" t="str">
        <f aca="false">AB66</f>
        <v>Целый керн</v>
      </c>
    </row>
    <row r="67" customFormat="false" ht="12.75" hidden="false" customHeight="false" outlineLevel="0" collapsed="false">
      <c r="AB67" s="65" t="str">
        <f aca="false">VLOOKUP("Half Core",Language_Translation_Table,Language_Code,FALSE())</f>
        <v>Половинки керна</v>
      </c>
      <c r="AC67" s="73" t="n">
        <v>2</v>
      </c>
      <c r="AD67" s="69" t="str">
        <f aca="false">AB67</f>
        <v>Половинки керна</v>
      </c>
    </row>
    <row r="68" customFormat="false" ht="12.75" hidden="false" customHeight="false" outlineLevel="0" collapsed="false">
      <c r="AB68" s="65" t="str">
        <f aca="false">VLOOKUP("Quartered Core",Language_Translation_Table,Language_Code,FALSE())</f>
        <v>Четвертинки керна</v>
      </c>
      <c r="AC68" s="73" t="n">
        <v>3</v>
      </c>
      <c r="AD68" s="69" t="str">
        <f aca="false">AB68</f>
        <v>Четвертинки керна</v>
      </c>
    </row>
    <row r="69" customFormat="false" ht="12.75" hidden="false" customHeight="false" outlineLevel="0" collapsed="false">
      <c r="AB69" s="65" t="str">
        <f aca="false">VLOOKUP("Broken Rock",Language_Translation_Table,Language_Code,FALSE())</f>
        <v>Кусковой материал</v>
      </c>
      <c r="AC69" s="70" t="n">
        <v>4</v>
      </c>
      <c r="AD69" s="71" t="str">
        <f aca="false">AB69</f>
        <v>Кусковой материал</v>
      </c>
    </row>
    <row r="72" customFormat="false" ht="12.75" hidden="false" customHeight="false" outlineLevel="0" collapsed="false">
      <c r="AB72" s="72" t="s">
        <v>28</v>
      </c>
    </row>
    <row r="74" customFormat="false" ht="12.75" hidden="false" customHeight="false" outlineLevel="0" collapsed="false">
      <c r="D74" s="39"/>
      <c r="AB74" s="5" t="s">
        <v>29</v>
      </c>
      <c r="AC74" s="5" t="s">
        <v>30</v>
      </c>
    </row>
    <row r="75" customFormat="false" ht="12.75" hidden="false" customHeight="false" outlineLevel="0" collapsed="false">
      <c r="AB75" s="65" t="str">
        <f aca="false">IF(PrevStartMatCode = 4, "", VLOOKUP("Quartered Core",Language_Translation_Table,Language_Code,FALSE()))</f>
        <v>Четвертинки керна</v>
      </c>
      <c r="AC75" s="66" t="n">
        <v>1</v>
      </c>
      <c r="AD75" s="67" t="str">
        <f aca="false">AB75</f>
        <v>Четвертинки керна</v>
      </c>
    </row>
    <row r="76" customFormat="false" ht="12.75" hidden="false" customHeight="false" outlineLevel="0" collapsed="false">
      <c r="AB76" s="65" t="str">
        <f aca="false">VLOOKUP("Broken Rock",Language_Translation_Table,Language_Code,FALSE())</f>
        <v>Кусковой материал</v>
      </c>
      <c r="AC76" s="70" t="n">
        <v>2</v>
      </c>
      <c r="AD76" s="71" t="str">
        <f aca="false">AB76</f>
        <v>Кусковой материал</v>
      </c>
    </row>
    <row r="78" customFormat="false" ht="12.75" hidden="false" customHeight="false" outlineLevel="0" collapsed="false">
      <c r="AB78" s="74" t="s">
        <v>31</v>
      </c>
    </row>
    <row r="80" customFormat="false" ht="12.75" hidden="false" customHeight="false" outlineLevel="0" collapsed="false">
      <c r="AB80" s="5" t="s">
        <v>32</v>
      </c>
      <c r="AC80" s="5" t="s">
        <v>33</v>
      </c>
      <c r="AD80" s="75" t="s">
        <v>34</v>
      </c>
      <c r="AE80" s="75" t="s">
        <v>35</v>
      </c>
      <c r="AF80" s="75" t="s">
        <v>36</v>
      </c>
      <c r="AG80" s="75" t="s">
        <v>37</v>
      </c>
      <c r="AH80" s="75" t="s">
        <v>38</v>
      </c>
      <c r="AI80" s="75" t="s">
        <v>39</v>
      </c>
    </row>
    <row r="81" customFormat="false" ht="12.75" hidden="false" customHeight="false" outlineLevel="0" collapsed="false">
      <c r="AB81" s="33" t="n">
        <v>1</v>
      </c>
      <c r="AC81" s="0" t="str">
        <f aca="false">INDEX(Sheet_Names_List,AB81,Language_Code)</f>
        <v>Исходные данные</v>
      </c>
      <c r="AD81" s="76" t="s">
        <v>40</v>
      </c>
      <c r="AE81" s="77" t="str">
        <f aca="false">VLOOKUP(AD81,Language_Translation_Table,2,FALSE())</f>
        <v>Pruebe La Definición</v>
      </c>
      <c r="AF81" s="77" t="str">
        <f aca="false">VLOOKUP(AD81,Language_Translation_Table,3,FALSE())</f>
        <v>Исходные данные</v>
      </c>
      <c r="AG81" s="77" t="s">
        <v>41</v>
      </c>
      <c r="AH81" s="78" t="s">
        <v>42</v>
      </c>
      <c r="AI81" s="77" t="s">
        <v>43</v>
      </c>
    </row>
    <row r="82" customFormat="false" ht="12.75" hidden="false" customHeight="false" outlineLevel="0" collapsed="false">
      <c r="AB82" s="33" t="n">
        <v>2</v>
      </c>
      <c r="AC82" s="0" t="str">
        <f aca="false">INDEX(Sheet_Names_List,AB82,Language_Code)</f>
        <v>Определение плотности</v>
      </c>
      <c r="AD82" s="76" t="s">
        <v>44</v>
      </c>
      <c r="AE82" s="78" t="str">
        <f aca="false">VLOOKUP(AD82,Language_Translation_Table,2,FALSE())</f>
        <v>Medida de SG</v>
      </c>
      <c r="AF82" s="78" t="str">
        <f aca="false">VLOOKUP(AD82,Language_Translation_Table,3,FALSE())</f>
        <v>Определение плотности</v>
      </c>
      <c r="AG82" s="77" t="s">
        <v>45</v>
      </c>
      <c r="AH82" s="78" t="s">
        <v>46</v>
      </c>
      <c r="AI82" s="77" t="s">
        <v>47</v>
      </c>
    </row>
    <row r="83" customFormat="false" ht="12.75" hidden="false" customHeight="false" outlineLevel="0" collapsed="false">
      <c r="AB83" s="33" t="n">
        <v>3</v>
      </c>
      <c r="AC83" s="0" t="str">
        <f aca="false">INDEX(Sheet_Names_List,AB83,Language_Code)</f>
        <v>Отбор кусков</v>
      </c>
      <c r="AD83" s="76" t="s">
        <v>48</v>
      </c>
      <c r="AE83" s="78" t="str">
        <f aca="false">VLOOKUP(AD83,Language_Translation_Table,2,FALSE())</f>
        <v>Selección De la Partícula</v>
      </c>
      <c r="AF83" s="78" t="str">
        <f aca="false">VLOOKUP(AD83,Language_Translation_Table,3,FALSE())</f>
        <v>Отбор кусков</v>
      </c>
      <c r="AG83" s="77" t="s">
        <v>49</v>
      </c>
      <c r="AH83" s="78" t="s">
        <v>50</v>
      </c>
      <c r="AI83" s="77" t="s">
        <v>51</v>
      </c>
    </row>
    <row r="84" customFormat="false" ht="12.75" hidden="false" customHeight="false" outlineLevel="0" collapsed="false">
      <c r="AB84" s="33" t="n">
        <v>4</v>
      </c>
      <c r="AC84" s="0" t="str">
        <f aca="false">INDEX(Sheet_Names_List,AB84,Language_Code)</f>
        <v>Тестирование DW</v>
      </c>
      <c r="AD84" s="76" t="s">
        <v>52</v>
      </c>
      <c r="AE84" s="78" t="str">
        <f aca="false">VLOOKUP(AD84,Language_Translation_Table,2,FALSE())</f>
        <v>Prueba de DW</v>
      </c>
      <c r="AF84" s="78" t="str">
        <f aca="false">VLOOKUP(AD84,Language_Translation_Table,3,FALSE())</f>
        <v>Тестирование DW</v>
      </c>
      <c r="AG84" s="77" t="s">
        <v>53</v>
      </c>
      <c r="AH84" s="78" t="s">
        <v>54</v>
      </c>
      <c r="AI84" s="77" t="s">
        <v>55</v>
      </c>
    </row>
    <row r="85" customFormat="false" ht="12.75" hidden="false" customHeight="false" outlineLevel="0" collapsed="false">
      <c r="AB85" s="33" t="n">
        <v>5</v>
      </c>
      <c r="AC85" s="0" t="str">
        <f aca="false">INDEX(Sheet_Names_List,AB85,Language_Code)</f>
        <v>Рабочий лист</v>
      </c>
      <c r="AD85" s="76" t="s">
        <v>56</v>
      </c>
      <c r="AE85" s="78" t="str">
        <f aca="false">VLOOKUP(AD85,Language_Translation_Table,2,FALSE())</f>
        <v>Hoja Del Trabajo</v>
      </c>
      <c r="AF85" s="78" t="str">
        <f aca="false">VLOOKUP(AD85,Language_Translation_Table,3,FALSE())</f>
        <v>Рабочий лист</v>
      </c>
      <c r="AG85" s="77" t="s">
        <v>57</v>
      </c>
      <c r="AH85" s="78" t="s">
        <v>58</v>
      </c>
      <c r="AI85" s="77" t="s">
        <v>59</v>
      </c>
    </row>
    <row r="86" customFormat="false" ht="12.75" hidden="false" customHeight="false" outlineLevel="0" collapsed="false">
      <c r="AB86" s="33" t="n">
        <v>6</v>
      </c>
      <c r="AC86" s="0" t="str">
        <f aca="false">INDEX(Sheet_Names_List,AB86,Language_Code)</f>
        <v>Методика</v>
      </c>
      <c r="AD86" s="76" t="s">
        <v>60</v>
      </c>
      <c r="AE86" s="78" t="str">
        <f aca="false">VLOOKUP(AD86,Language_Translation_Table,2,FALSE())</f>
        <v>Procedimiento</v>
      </c>
      <c r="AF86" s="78" t="str">
        <f aca="false">VLOOKUP(AD86,Language_Translation_Table,3,FALSE())</f>
        <v>Методика</v>
      </c>
      <c r="AG86" s="77" t="s">
        <v>61</v>
      </c>
      <c r="AH86" s="78" t="s">
        <v>62</v>
      </c>
      <c r="AI86" s="77" t="s">
        <v>63</v>
      </c>
    </row>
    <row r="87" customFormat="false" ht="12.75" hidden="false" customHeight="false" outlineLevel="0" collapsed="false">
      <c r="AB87" s="33" t="n">
        <v>7</v>
      </c>
      <c r="AC87" s="0" t="str">
        <f aca="false">INDEX(Sheet_Names_List,AB87,Language_Code)</f>
        <v>Pre начните проверку</v>
      </c>
      <c r="AD87" s="76" t="s">
        <v>64</v>
      </c>
      <c r="AE87" s="77" t="s">
        <v>65</v>
      </c>
      <c r="AF87" s="77" t="s">
        <v>66</v>
      </c>
      <c r="AG87" s="77" t="s">
        <v>67</v>
      </c>
      <c r="AH87" s="78" t="s">
        <v>68</v>
      </c>
      <c r="AI87" s="77" t="s">
        <v>69</v>
      </c>
    </row>
    <row r="89" customFormat="false" ht="12.75" hidden="false" customHeight="false" outlineLevel="0" collapsed="false">
      <c r="AB89" s="72" t="s">
        <v>70</v>
      </c>
    </row>
    <row r="91" customFormat="false" ht="12.75" hidden="false" customHeight="false" outlineLevel="0" collapsed="false">
      <c r="AB91" s="5" t="s">
        <v>71</v>
      </c>
      <c r="AC91" s="5" t="s">
        <v>72</v>
      </c>
    </row>
    <row r="92" customFormat="false" ht="12.75" hidden="false" customHeight="false" outlineLevel="0" collapsed="false">
      <c r="AB92" s="79" t="s">
        <v>73</v>
      </c>
      <c r="AC92" s="79" t="n">
        <v>1</v>
      </c>
    </row>
    <row r="93" customFormat="false" ht="12.75" hidden="false" customHeight="false" outlineLevel="0" collapsed="false">
      <c r="AB93" s="79" t="s">
        <v>74</v>
      </c>
      <c r="AC93" s="79" t="n">
        <v>2</v>
      </c>
    </row>
    <row r="94" customFormat="false" ht="12.75" hidden="false" customHeight="false" outlineLevel="0" collapsed="false">
      <c r="AB94" s="79" t="s">
        <v>16</v>
      </c>
      <c r="AC94" s="79" t="n">
        <v>3</v>
      </c>
    </row>
    <row r="95" customFormat="false" ht="12.75" hidden="false" customHeight="false" outlineLevel="0" collapsed="false">
      <c r="AB95" s="79" t="s">
        <v>75</v>
      </c>
      <c r="AC95" s="79" t="n">
        <v>4</v>
      </c>
    </row>
    <row r="96" customFormat="false" ht="12.75" hidden="false" customHeight="false" outlineLevel="0" collapsed="false">
      <c r="AB96" s="79" t="s">
        <v>76</v>
      </c>
      <c r="AC96" s="79" t="n">
        <v>5</v>
      </c>
    </row>
    <row r="97" customFormat="false" ht="12.75" hidden="false" customHeight="false" outlineLevel="0" collapsed="false">
      <c r="AB97" s="79" t="s">
        <v>77</v>
      </c>
      <c r="AC97" s="79" t="n">
        <v>6</v>
      </c>
    </row>
    <row r="101" customFormat="false" ht="12.75" hidden="false" customHeight="false" outlineLevel="0" collapsed="false">
      <c r="AC101" s="72" t="s">
        <v>78</v>
      </c>
    </row>
    <row r="103" customFormat="false" ht="12.75" hidden="false" customHeight="false" outlineLevel="0" collapsed="false">
      <c r="AC103" s="5" t="s">
        <v>73</v>
      </c>
      <c r="AD103" s="5" t="s">
        <v>74</v>
      </c>
      <c r="AE103" s="5" t="s">
        <v>16</v>
      </c>
      <c r="AF103" s="5" t="s">
        <v>75</v>
      </c>
      <c r="AG103" s="5" t="s">
        <v>76</v>
      </c>
      <c r="AH103" s="5" t="s">
        <v>77</v>
      </c>
    </row>
    <row r="104" customFormat="false" ht="12.75" hidden="false" customHeight="false" outlineLevel="0" collapsed="false">
      <c r="AC104" s="77" t="s">
        <v>79</v>
      </c>
      <c r="AD104" s="80" t="s">
        <v>80</v>
      </c>
      <c r="AE104" s="80" t="s">
        <v>81</v>
      </c>
      <c r="AF104" s="80" t="s">
        <v>82</v>
      </c>
      <c r="AG104" s="80" t="s">
        <v>83</v>
      </c>
      <c r="AH104" s="80" t="s">
        <v>84</v>
      </c>
    </row>
    <row r="105" customFormat="false" ht="12.75" hidden="false" customHeight="false" outlineLevel="0" collapsed="false">
      <c r="AC105" s="77" t="s">
        <v>85</v>
      </c>
      <c r="AD105" s="80" t="s">
        <v>86</v>
      </c>
      <c r="AE105" s="80" t="s">
        <v>87</v>
      </c>
      <c r="AF105" s="80" t="s">
        <v>88</v>
      </c>
      <c r="AG105" s="80" t="s">
        <v>89</v>
      </c>
      <c r="AH105" s="80" t="s">
        <v>90</v>
      </c>
    </row>
    <row r="106" customFormat="false" ht="12.75" hidden="false" customHeight="false" outlineLevel="0" collapsed="false">
      <c r="AC106" s="77" t="s">
        <v>91</v>
      </c>
      <c r="AD106" s="80" t="s">
        <v>92</v>
      </c>
      <c r="AE106" s="80" t="s">
        <v>93</v>
      </c>
      <c r="AF106" s="80" t="s">
        <v>94</v>
      </c>
      <c r="AG106" s="80" t="s">
        <v>95</v>
      </c>
      <c r="AH106" s="80" t="s">
        <v>96</v>
      </c>
    </row>
    <row r="107" customFormat="false" ht="12.75" hidden="false" customHeight="false" outlineLevel="0" collapsed="false">
      <c r="AC107" s="81" t="s">
        <v>97</v>
      </c>
      <c r="AD107" s="80" t="s">
        <v>98</v>
      </c>
      <c r="AE107" s="80" t="s">
        <v>99</v>
      </c>
      <c r="AF107" s="80" t="s">
        <v>100</v>
      </c>
      <c r="AG107" s="82" t="s">
        <v>101</v>
      </c>
      <c r="AH107" s="80" t="s">
        <v>102</v>
      </c>
    </row>
    <row r="108" customFormat="false" ht="12.75" hidden="false" customHeight="false" outlineLevel="0" collapsed="false">
      <c r="AC108" s="77" t="s">
        <v>103</v>
      </c>
      <c r="AD108" s="80" t="s">
        <v>15</v>
      </c>
      <c r="AE108" s="80" t="s">
        <v>104</v>
      </c>
      <c r="AF108" s="80" t="s">
        <v>105</v>
      </c>
      <c r="AG108" s="82" t="s">
        <v>106</v>
      </c>
      <c r="AH108" s="80" t="s">
        <v>107</v>
      </c>
    </row>
    <row r="109" customFormat="false" ht="12.75" hidden="false" customHeight="false" outlineLevel="0" collapsed="false">
      <c r="AC109" s="77" t="s">
        <v>108</v>
      </c>
      <c r="AD109" s="80" t="s">
        <v>109</v>
      </c>
      <c r="AE109" s="80" t="s">
        <v>110</v>
      </c>
      <c r="AF109" s="80" t="s">
        <v>111</v>
      </c>
      <c r="AG109" s="80" t="s">
        <v>112</v>
      </c>
      <c r="AH109" s="80" t="s">
        <v>113</v>
      </c>
    </row>
    <row r="110" customFormat="false" ht="12.75" hidden="false" customHeight="false" outlineLevel="0" collapsed="false">
      <c r="AC110" s="77" t="s">
        <v>114</v>
      </c>
      <c r="AD110" s="80" t="s">
        <v>115</v>
      </c>
      <c r="AE110" s="80" t="s">
        <v>116</v>
      </c>
      <c r="AF110" s="80" t="s">
        <v>117</v>
      </c>
      <c r="AG110" s="80" t="s">
        <v>118</v>
      </c>
      <c r="AH110" s="80" t="s">
        <v>119</v>
      </c>
    </row>
    <row r="111" customFormat="false" ht="12.75" hidden="false" customHeight="false" outlineLevel="0" collapsed="false">
      <c r="AC111" s="77" t="s">
        <v>120</v>
      </c>
      <c r="AD111" s="80" t="s">
        <v>121</v>
      </c>
      <c r="AE111" s="80" t="s">
        <v>122</v>
      </c>
      <c r="AF111" s="80" t="s">
        <v>123</v>
      </c>
      <c r="AG111" s="82" t="s">
        <v>124</v>
      </c>
      <c r="AH111" s="80" t="s">
        <v>125</v>
      </c>
    </row>
    <row r="112" customFormat="false" ht="12.75" hidden="false" customHeight="false" outlineLevel="0" collapsed="false">
      <c r="AC112" s="77" t="s">
        <v>126</v>
      </c>
      <c r="AD112" s="80" t="s">
        <v>127</v>
      </c>
      <c r="AE112" s="80" t="s">
        <v>128</v>
      </c>
      <c r="AF112" s="80" t="s">
        <v>129</v>
      </c>
      <c r="AG112" s="82" t="s">
        <v>130</v>
      </c>
      <c r="AH112" s="80" t="s">
        <v>131</v>
      </c>
    </row>
    <row r="113" customFormat="false" ht="12.75" hidden="false" customHeight="false" outlineLevel="0" collapsed="false">
      <c r="AC113" s="77" t="s">
        <v>132</v>
      </c>
      <c r="AD113" s="80" t="s">
        <v>133</v>
      </c>
      <c r="AE113" s="80" t="s">
        <v>134</v>
      </c>
      <c r="AF113" s="80" t="s">
        <v>135</v>
      </c>
      <c r="AG113" s="82" t="s">
        <v>136</v>
      </c>
      <c r="AH113" s="80" t="s">
        <v>137</v>
      </c>
    </row>
    <row r="114" customFormat="false" ht="12.75" hidden="false" customHeight="false" outlineLevel="0" collapsed="false">
      <c r="AC114" s="77" t="s">
        <v>138</v>
      </c>
      <c r="AD114" s="80" t="s">
        <v>139</v>
      </c>
      <c r="AE114" s="80" t="s">
        <v>140</v>
      </c>
      <c r="AF114" s="80" t="s">
        <v>139</v>
      </c>
      <c r="AG114" s="82" t="s">
        <v>141</v>
      </c>
      <c r="AH114" s="80" t="s">
        <v>142</v>
      </c>
    </row>
    <row r="115" customFormat="false" ht="12.75" hidden="false" customHeight="false" outlineLevel="0" collapsed="false">
      <c r="AC115" s="77" t="s">
        <v>143</v>
      </c>
      <c r="AD115" s="80" t="s">
        <v>144</v>
      </c>
      <c r="AE115" s="80" t="s">
        <v>145</v>
      </c>
      <c r="AF115" s="80" t="s">
        <v>146</v>
      </c>
      <c r="AG115" s="82" t="s">
        <v>147</v>
      </c>
      <c r="AH115" s="80" t="s">
        <v>148</v>
      </c>
    </row>
    <row r="116" customFormat="false" ht="12.75" hidden="false" customHeight="false" outlineLevel="0" collapsed="false">
      <c r="AC116" s="77" t="s">
        <v>149</v>
      </c>
      <c r="AD116" s="80" t="s">
        <v>150</v>
      </c>
      <c r="AE116" s="80" t="s">
        <v>151</v>
      </c>
      <c r="AF116" s="80" t="s">
        <v>152</v>
      </c>
      <c r="AG116" s="82" t="s">
        <v>153</v>
      </c>
      <c r="AH116" s="80" t="s">
        <v>154</v>
      </c>
    </row>
    <row r="117" customFormat="false" ht="12.75" hidden="false" customHeight="false" outlineLevel="0" collapsed="false">
      <c r="AC117" s="77" t="s">
        <v>155</v>
      </c>
      <c r="AD117" s="80" t="s">
        <v>156</v>
      </c>
      <c r="AE117" s="80" t="s">
        <v>157</v>
      </c>
      <c r="AF117" s="80" t="s">
        <v>158</v>
      </c>
      <c r="AG117" s="82" t="s">
        <v>159</v>
      </c>
      <c r="AH117" s="80" t="s">
        <v>160</v>
      </c>
    </row>
    <row r="118" customFormat="false" ht="12.75" hidden="false" customHeight="false" outlineLevel="0" collapsed="false">
      <c r="AC118" s="77" t="s">
        <v>161</v>
      </c>
      <c r="AD118" s="80" t="s">
        <v>162</v>
      </c>
      <c r="AE118" s="80" t="s">
        <v>163</v>
      </c>
      <c r="AF118" s="80" t="s">
        <v>164</v>
      </c>
      <c r="AG118" s="82" t="s">
        <v>165</v>
      </c>
      <c r="AH118" s="80" t="s">
        <v>166</v>
      </c>
    </row>
    <row r="119" customFormat="false" ht="12.75" hidden="false" customHeight="false" outlineLevel="0" collapsed="false">
      <c r="AC119" s="77" t="s">
        <v>167</v>
      </c>
      <c r="AD119" s="80" t="s">
        <v>168</v>
      </c>
      <c r="AE119" s="80" t="s">
        <v>169</v>
      </c>
      <c r="AF119" s="80" t="s">
        <v>170</v>
      </c>
      <c r="AG119" s="82" t="s">
        <v>171</v>
      </c>
      <c r="AH119" s="80" t="s">
        <v>172</v>
      </c>
    </row>
    <row r="120" customFormat="false" ht="12.75" hidden="false" customHeight="false" outlineLevel="0" collapsed="false">
      <c r="AC120" s="77" t="s">
        <v>173</v>
      </c>
      <c r="AD120" s="80" t="s">
        <v>174</v>
      </c>
      <c r="AE120" s="80" t="s">
        <v>175</v>
      </c>
      <c r="AF120" s="80" t="s">
        <v>176</v>
      </c>
      <c r="AG120" s="82" t="s">
        <v>177</v>
      </c>
      <c r="AH120" s="80" t="s">
        <v>178</v>
      </c>
    </row>
    <row r="121" customFormat="false" ht="12.75" hidden="false" customHeight="false" outlineLevel="0" collapsed="false">
      <c r="AC121" s="77" t="s">
        <v>179</v>
      </c>
      <c r="AD121" s="80" t="s">
        <v>180</v>
      </c>
      <c r="AE121" s="80" t="s">
        <v>181</v>
      </c>
      <c r="AF121" s="80" t="s">
        <v>182</v>
      </c>
      <c r="AG121" s="82" t="s">
        <v>183</v>
      </c>
      <c r="AH121" s="80" t="s">
        <v>184</v>
      </c>
    </row>
    <row r="122" customFormat="false" ht="12.75" hidden="false" customHeight="false" outlineLevel="0" collapsed="false">
      <c r="AC122" s="77" t="s">
        <v>185</v>
      </c>
      <c r="AD122" s="80" t="s">
        <v>186</v>
      </c>
      <c r="AE122" s="80" t="s">
        <v>187</v>
      </c>
      <c r="AF122" s="80" t="s">
        <v>188</v>
      </c>
      <c r="AG122" s="82" t="s">
        <v>189</v>
      </c>
      <c r="AH122" s="80" t="s">
        <v>190</v>
      </c>
    </row>
    <row r="123" customFormat="false" ht="12.75" hidden="false" customHeight="false" outlineLevel="0" collapsed="false">
      <c r="AC123" s="77" t="s">
        <v>191</v>
      </c>
      <c r="AD123" s="80" t="s">
        <v>192</v>
      </c>
      <c r="AE123" s="80" t="s">
        <v>193</v>
      </c>
      <c r="AF123" s="80" t="s">
        <v>194</v>
      </c>
      <c r="AG123" s="82" t="s">
        <v>195</v>
      </c>
      <c r="AH123" s="80" t="s">
        <v>196</v>
      </c>
    </row>
    <row r="124" customFormat="false" ht="12.75" hidden="false" customHeight="false" outlineLevel="0" collapsed="false">
      <c r="AC124" s="77" t="s">
        <v>197</v>
      </c>
      <c r="AD124" s="80" t="s">
        <v>198</v>
      </c>
      <c r="AE124" s="83" t="s">
        <v>199</v>
      </c>
      <c r="AF124" s="80" t="s">
        <v>200</v>
      </c>
      <c r="AG124" s="84" t="s">
        <v>201</v>
      </c>
      <c r="AH124" s="80" t="s">
        <v>202</v>
      </c>
    </row>
    <row r="125" customFormat="false" ht="12.75" hidden="false" customHeight="false" outlineLevel="0" collapsed="false">
      <c r="AC125" s="77" t="s">
        <v>203</v>
      </c>
      <c r="AD125" s="80" t="s">
        <v>204</v>
      </c>
      <c r="AE125" s="83" t="s">
        <v>205</v>
      </c>
      <c r="AF125" s="80" t="s">
        <v>204</v>
      </c>
      <c r="AG125" s="84" t="s">
        <v>206</v>
      </c>
      <c r="AH125" s="80" t="s">
        <v>207</v>
      </c>
    </row>
    <row r="126" customFormat="false" ht="12.75" hidden="false" customHeight="false" outlineLevel="0" collapsed="false">
      <c r="AC126" s="77" t="s">
        <v>208</v>
      </c>
      <c r="AD126" s="80" t="s">
        <v>209</v>
      </c>
      <c r="AE126" s="80" t="s">
        <v>210</v>
      </c>
      <c r="AF126" s="80" t="s">
        <v>211</v>
      </c>
      <c r="AG126" s="82" t="s">
        <v>212</v>
      </c>
      <c r="AH126" s="80" t="s">
        <v>213</v>
      </c>
    </row>
    <row r="127" customFormat="false" ht="12.75" hidden="false" customHeight="false" outlineLevel="0" collapsed="false">
      <c r="AC127" s="77" t="s">
        <v>214</v>
      </c>
      <c r="AD127" s="80" t="s">
        <v>215</v>
      </c>
      <c r="AE127" s="80" t="s">
        <v>216</v>
      </c>
      <c r="AF127" s="80" t="s">
        <v>217</v>
      </c>
      <c r="AG127" s="82" t="s">
        <v>218</v>
      </c>
      <c r="AH127" s="80" t="s">
        <v>219</v>
      </c>
    </row>
    <row r="128" customFormat="false" ht="12.75" hidden="false" customHeight="false" outlineLevel="0" collapsed="false">
      <c r="AC128" s="77" t="s">
        <v>220</v>
      </c>
      <c r="AD128" s="80" t="s">
        <v>221</v>
      </c>
      <c r="AE128" s="80" t="s">
        <v>216</v>
      </c>
      <c r="AF128" s="80" t="s">
        <v>222</v>
      </c>
      <c r="AG128" s="82" t="s">
        <v>218</v>
      </c>
      <c r="AH128" s="80" t="s">
        <v>219</v>
      </c>
    </row>
    <row r="129" customFormat="false" ht="12.75" hidden="false" customHeight="false" outlineLevel="0" collapsed="false">
      <c r="AC129" s="77" t="s">
        <v>223</v>
      </c>
      <c r="AD129" s="80" t="s">
        <v>224</v>
      </c>
      <c r="AE129" s="80" t="s">
        <v>225</v>
      </c>
      <c r="AF129" s="80" t="s">
        <v>226</v>
      </c>
      <c r="AG129" s="82" t="s">
        <v>227</v>
      </c>
      <c r="AH129" s="80" t="s">
        <v>228</v>
      </c>
    </row>
    <row r="130" customFormat="false" ht="12.75" hidden="false" customHeight="false" outlineLevel="0" collapsed="false">
      <c r="AC130" s="77" t="s">
        <v>229</v>
      </c>
      <c r="AD130" s="80" t="s">
        <v>230</v>
      </c>
      <c r="AE130" s="80" t="s">
        <v>231</v>
      </c>
      <c r="AF130" s="80" t="s">
        <v>232</v>
      </c>
      <c r="AG130" s="82" t="s">
        <v>233</v>
      </c>
      <c r="AH130" s="80" t="s">
        <v>234</v>
      </c>
    </row>
    <row r="131" customFormat="false" ht="12.75" hidden="false" customHeight="false" outlineLevel="0" collapsed="false">
      <c r="AC131" s="77" t="s">
        <v>235</v>
      </c>
      <c r="AD131" s="80" t="s">
        <v>236</v>
      </c>
      <c r="AE131" s="80" t="s">
        <v>237</v>
      </c>
      <c r="AF131" s="80" t="s">
        <v>238</v>
      </c>
      <c r="AG131" s="82" t="s">
        <v>239</v>
      </c>
      <c r="AH131" s="80" t="s">
        <v>240</v>
      </c>
    </row>
    <row r="132" customFormat="false" ht="12.75" hidden="false" customHeight="false" outlineLevel="0" collapsed="false">
      <c r="AC132" s="77" t="s">
        <v>241</v>
      </c>
      <c r="AD132" s="80" t="s">
        <v>242</v>
      </c>
      <c r="AE132" s="80" t="s">
        <v>243</v>
      </c>
      <c r="AF132" s="80" t="s">
        <v>244</v>
      </c>
      <c r="AG132" s="82" t="s">
        <v>245</v>
      </c>
      <c r="AH132" s="80" t="s">
        <v>246</v>
      </c>
    </row>
    <row r="133" customFormat="false" ht="12.75" hidden="false" customHeight="false" outlineLevel="0" collapsed="false">
      <c r="AC133" s="77" t="s">
        <v>247</v>
      </c>
      <c r="AD133" s="80" t="s">
        <v>248</v>
      </c>
      <c r="AE133" s="80" t="s">
        <v>249</v>
      </c>
      <c r="AF133" s="80" t="s">
        <v>250</v>
      </c>
      <c r="AG133" s="82" t="s">
        <v>251</v>
      </c>
      <c r="AH133" s="80" t="s">
        <v>252</v>
      </c>
    </row>
    <row r="134" customFormat="false" ht="12.75" hidden="false" customHeight="false" outlineLevel="0" collapsed="false">
      <c r="AC134" s="77" t="s">
        <v>253</v>
      </c>
      <c r="AD134" s="80" t="s">
        <v>254</v>
      </c>
      <c r="AE134" s="80" t="s">
        <v>255</v>
      </c>
      <c r="AF134" s="80" t="s">
        <v>256</v>
      </c>
      <c r="AG134" s="82" t="s">
        <v>257</v>
      </c>
      <c r="AH134" s="80" t="s">
        <v>258</v>
      </c>
    </row>
    <row r="135" customFormat="false" ht="12.75" hidden="false" customHeight="false" outlineLevel="0" collapsed="false">
      <c r="AC135" s="77" t="s">
        <v>259</v>
      </c>
      <c r="AD135" s="80" t="s">
        <v>260</v>
      </c>
      <c r="AE135" s="80" t="s">
        <v>261</v>
      </c>
      <c r="AF135" s="80" t="s">
        <v>262</v>
      </c>
      <c r="AG135" s="82" t="s">
        <v>263</v>
      </c>
      <c r="AH135" s="80" t="s">
        <v>264</v>
      </c>
    </row>
    <row r="136" customFormat="false" ht="12.75" hidden="false" customHeight="false" outlineLevel="0" collapsed="false">
      <c r="AC136" s="77" t="s">
        <v>265</v>
      </c>
      <c r="AD136" s="80" t="s">
        <v>266</v>
      </c>
      <c r="AE136" s="80" t="s">
        <v>267</v>
      </c>
      <c r="AF136" s="80" t="s">
        <v>268</v>
      </c>
      <c r="AG136" s="82" t="s">
        <v>269</v>
      </c>
      <c r="AH136" s="80" t="s">
        <v>270</v>
      </c>
    </row>
    <row r="137" customFormat="false" ht="12.75" hidden="false" customHeight="false" outlineLevel="0" collapsed="false">
      <c r="AC137" s="77" t="s">
        <v>271</v>
      </c>
      <c r="AD137" s="80" t="s">
        <v>272</v>
      </c>
      <c r="AE137" s="80" t="s">
        <v>273</v>
      </c>
      <c r="AF137" s="80" t="s">
        <v>274</v>
      </c>
      <c r="AG137" s="82" t="s">
        <v>275</v>
      </c>
      <c r="AH137" s="80" t="s">
        <v>276</v>
      </c>
    </row>
    <row r="138" customFormat="false" ht="12.75" hidden="false" customHeight="false" outlineLevel="0" collapsed="false">
      <c r="AC138" s="77" t="s">
        <v>277</v>
      </c>
      <c r="AD138" s="80" t="s">
        <v>277</v>
      </c>
      <c r="AE138" s="80" t="s">
        <v>278</v>
      </c>
      <c r="AF138" s="80" t="s">
        <v>279</v>
      </c>
      <c r="AG138" s="82" t="s">
        <v>280</v>
      </c>
      <c r="AH138" s="80" t="s">
        <v>281</v>
      </c>
    </row>
    <row r="139" customFormat="false" ht="12.75" hidden="false" customHeight="false" outlineLevel="0" collapsed="false">
      <c r="AC139" s="77" t="s">
        <v>282</v>
      </c>
      <c r="AD139" s="80" t="s">
        <v>283</v>
      </c>
      <c r="AE139" s="80" t="s">
        <v>284</v>
      </c>
      <c r="AF139" s="80" t="s">
        <v>285</v>
      </c>
      <c r="AG139" s="82" t="s">
        <v>286</v>
      </c>
      <c r="AH139" s="80" t="s">
        <v>287</v>
      </c>
    </row>
    <row r="140" customFormat="false" ht="12.75" hidden="false" customHeight="false" outlineLevel="0" collapsed="false">
      <c r="AC140" s="77" t="s">
        <v>288</v>
      </c>
      <c r="AD140" s="80" t="s">
        <v>288</v>
      </c>
      <c r="AE140" s="80" t="s">
        <v>289</v>
      </c>
      <c r="AF140" s="80" t="s">
        <v>290</v>
      </c>
      <c r="AG140" s="82" t="s">
        <v>291</v>
      </c>
      <c r="AH140" s="80" t="s">
        <v>292</v>
      </c>
    </row>
    <row r="141" customFormat="false" ht="12.75" hidden="false" customHeight="false" outlineLevel="0" collapsed="false">
      <c r="AC141" s="77" t="s">
        <v>293</v>
      </c>
      <c r="AD141" s="80" t="s">
        <v>294</v>
      </c>
      <c r="AE141" s="80" t="s">
        <v>295</v>
      </c>
      <c r="AF141" s="80" t="s">
        <v>296</v>
      </c>
      <c r="AG141" s="82" t="s">
        <v>297</v>
      </c>
      <c r="AH141" s="80" t="s">
        <v>298</v>
      </c>
    </row>
    <row r="142" customFormat="false" ht="12.75" hidden="false" customHeight="false" outlineLevel="0" collapsed="false">
      <c r="AC142" s="77" t="s">
        <v>299</v>
      </c>
      <c r="AD142" s="80" t="s">
        <v>300</v>
      </c>
      <c r="AE142" s="80" t="s">
        <v>301</v>
      </c>
      <c r="AF142" s="80" t="s">
        <v>302</v>
      </c>
      <c r="AG142" s="82" t="s">
        <v>303</v>
      </c>
      <c r="AH142" s="80" t="s">
        <v>292</v>
      </c>
    </row>
    <row r="143" customFormat="false" ht="12.75" hidden="false" customHeight="false" outlineLevel="0" collapsed="false">
      <c r="AC143" s="77" t="s">
        <v>52</v>
      </c>
      <c r="AD143" s="80" t="s">
        <v>304</v>
      </c>
      <c r="AE143" s="80" t="s">
        <v>305</v>
      </c>
      <c r="AF143" s="80" t="s">
        <v>306</v>
      </c>
      <c r="AG143" s="82" t="s">
        <v>307</v>
      </c>
      <c r="AH143" s="80" t="s">
        <v>55</v>
      </c>
    </row>
    <row r="144" customFormat="false" ht="12.75" hidden="false" customHeight="false" outlineLevel="0" collapsed="false">
      <c r="AC144" s="77" t="s">
        <v>308</v>
      </c>
      <c r="AD144" s="80" t="s">
        <v>309</v>
      </c>
      <c r="AE144" s="80" t="s">
        <v>310</v>
      </c>
      <c r="AF144" s="80" t="s">
        <v>311</v>
      </c>
      <c r="AG144" s="80" t="s">
        <v>312</v>
      </c>
      <c r="AH144" s="80" t="s">
        <v>313</v>
      </c>
    </row>
    <row r="145" customFormat="false" ht="12.75" hidden="false" customHeight="false" outlineLevel="0" collapsed="false">
      <c r="AC145" s="77" t="s">
        <v>314</v>
      </c>
      <c r="AD145" s="80" t="s">
        <v>315</v>
      </c>
      <c r="AE145" s="80" t="s">
        <v>316</v>
      </c>
      <c r="AF145" s="80" t="s">
        <v>317</v>
      </c>
      <c r="AG145" s="82" t="s">
        <v>318</v>
      </c>
      <c r="AH145" s="80" t="s">
        <v>319</v>
      </c>
    </row>
    <row r="146" customFormat="false" ht="12.75" hidden="false" customHeight="false" outlineLevel="0" collapsed="false">
      <c r="AC146" s="77" t="s">
        <v>320</v>
      </c>
      <c r="AD146" s="80" t="s">
        <v>321</v>
      </c>
      <c r="AE146" s="80" t="s">
        <v>322</v>
      </c>
      <c r="AF146" s="80" t="s">
        <v>323</v>
      </c>
      <c r="AG146" s="82" t="s">
        <v>324</v>
      </c>
      <c r="AH146" s="80" t="s">
        <v>325</v>
      </c>
    </row>
    <row r="147" customFormat="false" ht="12.75" hidden="false" customHeight="false" outlineLevel="0" collapsed="false">
      <c r="AC147" s="77" t="s">
        <v>326</v>
      </c>
      <c r="AD147" s="80" t="s">
        <v>327</v>
      </c>
      <c r="AE147" s="80" t="s">
        <v>328</v>
      </c>
      <c r="AF147" s="80" t="s">
        <v>329</v>
      </c>
      <c r="AG147" s="82" t="s">
        <v>330</v>
      </c>
      <c r="AH147" s="80" t="s">
        <v>331</v>
      </c>
    </row>
    <row r="148" customFormat="false" ht="12.75" hidden="false" customHeight="false" outlineLevel="0" collapsed="false">
      <c r="AC148" s="77" t="s">
        <v>332</v>
      </c>
      <c r="AD148" s="80" t="s">
        <v>333</v>
      </c>
      <c r="AE148" s="80" t="s">
        <v>334</v>
      </c>
      <c r="AF148" s="80" t="s">
        <v>335</v>
      </c>
      <c r="AG148" s="82" t="s">
        <v>336</v>
      </c>
      <c r="AH148" s="80" t="s">
        <v>337</v>
      </c>
    </row>
    <row r="149" customFormat="false" ht="12.75" hidden="false" customHeight="false" outlineLevel="0" collapsed="false">
      <c r="AC149" s="77" t="s">
        <v>338</v>
      </c>
      <c r="AD149" s="80" t="s">
        <v>339</v>
      </c>
      <c r="AE149" s="80" t="s">
        <v>340</v>
      </c>
      <c r="AF149" s="80" t="s">
        <v>341</v>
      </c>
      <c r="AG149" s="82" t="s">
        <v>342</v>
      </c>
      <c r="AH149" s="80" t="s">
        <v>343</v>
      </c>
    </row>
    <row r="150" customFormat="false" ht="12.75" hidden="false" customHeight="false" outlineLevel="0" collapsed="false">
      <c r="AC150" s="77" t="s">
        <v>344</v>
      </c>
      <c r="AD150" s="80" t="s">
        <v>345</v>
      </c>
      <c r="AE150" s="80" t="s">
        <v>17</v>
      </c>
      <c r="AF150" s="80" t="s">
        <v>346</v>
      </c>
      <c r="AG150" s="82" t="s">
        <v>347</v>
      </c>
      <c r="AH150" s="80" t="s">
        <v>348</v>
      </c>
    </row>
    <row r="151" customFormat="false" ht="12.75" hidden="false" customHeight="false" outlineLevel="0" collapsed="false">
      <c r="AC151" s="77" t="s">
        <v>349</v>
      </c>
      <c r="AD151" s="80" t="s">
        <v>350</v>
      </c>
      <c r="AE151" s="80" t="s">
        <v>351</v>
      </c>
      <c r="AF151" s="80" t="s">
        <v>352</v>
      </c>
      <c r="AG151" s="82" t="s">
        <v>353</v>
      </c>
      <c r="AH151" s="80" t="s">
        <v>354</v>
      </c>
    </row>
    <row r="152" customFormat="false" ht="12.75" hidden="false" customHeight="false" outlineLevel="0" collapsed="false">
      <c r="AC152" s="77" t="s">
        <v>355</v>
      </c>
      <c r="AD152" s="80" t="s">
        <v>356</v>
      </c>
      <c r="AE152" s="80" t="s">
        <v>357</v>
      </c>
      <c r="AF152" s="80" t="s">
        <v>356</v>
      </c>
      <c r="AG152" s="82" t="s">
        <v>358</v>
      </c>
      <c r="AH152" s="80" t="s">
        <v>359</v>
      </c>
    </row>
    <row r="153" customFormat="false" ht="12.75" hidden="false" customHeight="false" outlineLevel="0" collapsed="false">
      <c r="AC153" s="77" t="s">
        <v>360</v>
      </c>
      <c r="AD153" s="80" t="s">
        <v>361</v>
      </c>
      <c r="AE153" s="80" t="s">
        <v>362</v>
      </c>
      <c r="AF153" s="80" t="s">
        <v>363</v>
      </c>
      <c r="AG153" s="82" t="s">
        <v>364</v>
      </c>
      <c r="AH153" s="80" t="s">
        <v>365</v>
      </c>
    </row>
    <row r="154" customFormat="false" ht="12.75" hidden="false" customHeight="false" outlineLevel="0" collapsed="false">
      <c r="AC154" s="77" t="s">
        <v>366</v>
      </c>
      <c r="AD154" s="80" t="s">
        <v>367</v>
      </c>
      <c r="AE154" s="80" t="s">
        <v>368</v>
      </c>
      <c r="AF154" s="80" t="s">
        <v>369</v>
      </c>
      <c r="AG154" s="82" t="s">
        <v>370</v>
      </c>
      <c r="AH154" s="80" t="s">
        <v>371</v>
      </c>
    </row>
    <row r="155" customFormat="false" ht="12.75" hidden="false" customHeight="false" outlineLevel="0" collapsed="false">
      <c r="AC155" s="77" t="s">
        <v>372</v>
      </c>
      <c r="AD155" s="80" t="s">
        <v>373</v>
      </c>
      <c r="AE155" s="80" t="s">
        <v>374</v>
      </c>
      <c r="AF155" s="80" t="s">
        <v>375</v>
      </c>
      <c r="AG155" s="82" t="s">
        <v>376</v>
      </c>
      <c r="AH155" s="80" t="s">
        <v>377</v>
      </c>
    </row>
    <row r="156" customFormat="false" ht="12.75" hidden="false" customHeight="false" outlineLevel="0" collapsed="false">
      <c r="AC156" s="77" t="s">
        <v>378</v>
      </c>
      <c r="AD156" s="80" t="s">
        <v>379</v>
      </c>
      <c r="AE156" s="80" t="s">
        <v>380</v>
      </c>
      <c r="AF156" s="80" t="s">
        <v>381</v>
      </c>
      <c r="AG156" s="82" t="s">
        <v>382</v>
      </c>
      <c r="AH156" s="80" t="s">
        <v>383</v>
      </c>
    </row>
    <row r="157" customFormat="false" ht="12.75" hidden="false" customHeight="false" outlineLevel="0" collapsed="false">
      <c r="AC157" s="77" t="s">
        <v>384</v>
      </c>
      <c r="AD157" s="80" t="s">
        <v>385</v>
      </c>
      <c r="AE157" s="80" t="s">
        <v>386</v>
      </c>
      <c r="AF157" s="80" t="s">
        <v>387</v>
      </c>
      <c r="AG157" s="82" t="s">
        <v>388</v>
      </c>
      <c r="AH157" s="80" t="s">
        <v>389</v>
      </c>
    </row>
    <row r="158" customFormat="false" ht="12.75" hidden="false" customHeight="false" outlineLevel="0" collapsed="false">
      <c r="AC158" s="77" t="s">
        <v>390</v>
      </c>
      <c r="AD158" s="80" t="s">
        <v>391</v>
      </c>
      <c r="AE158" s="80" t="s">
        <v>392</v>
      </c>
      <c r="AF158" s="80" t="s">
        <v>393</v>
      </c>
      <c r="AG158" s="82" t="s">
        <v>394</v>
      </c>
      <c r="AH158" s="80" t="s">
        <v>395</v>
      </c>
    </row>
    <row r="159" customFormat="false" ht="12.75" hidden="false" customHeight="false" outlineLevel="0" collapsed="false">
      <c r="AC159" s="77" t="s">
        <v>396</v>
      </c>
      <c r="AD159" s="80" t="s">
        <v>397</v>
      </c>
      <c r="AE159" s="80" t="s">
        <v>398</v>
      </c>
      <c r="AF159" s="80" t="s">
        <v>399</v>
      </c>
      <c r="AG159" s="82" t="s">
        <v>400</v>
      </c>
      <c r="AH159" s="80" t="s">
        <v>401</v>
      </c>
    </row>
    <row r="160" customFormat="false" ht="12.75" hidden="false" customHeight="false" outlineLevel="0" collapsed="false">
      <c r="AC160" s="77" t="s">
        <v>402</v>
      </c>
      <c r="AD160" s="80" t="s">
        <v>403</v>
      </c>
      <c r="AE160" s="80" t="s">
        <v>404</v>
      </c>
      <c r="AF160" s="80" t="s">
        <v>405</v>
      </c>
      <c r="AG160" s="82" t="s">
        <v>406</v>
      </c>
      <c r="AH160" s="80" t="s">
        <v>407</v>
      </c>
    </row>
    <row r="161" customFormat="false" ht="12.75" hidden="false" customHeight="false" outlineLevel="0" collapsed="false">
      <c r="AC161" s="77" t="s">
        <v>408</v>
      </c>
      <c r="AD161" s="80" t="s">
        <v>409</v>
      </c>
      <c r="AE161" s="80" t="s">
        <v>410</v>
      </c>
      <c r="AF161" s="80" t="s">
        <v>409</v>
      </c>
      <c r="AG161" s="82" t="s">
        <v>411</v>
      </c>
      <c r="AH161" s="80" t="s">
        <v>412</v>
      </c>
    </row>
    <row r="162" customFormat="false" ht="12.75" hidden="false" customHeight="false" outlineLevel="0" collapsed="false">
      <c r="AC162" s="77" t="s">
        <v>413</v>
      </c>
      <c r="AD162" s="80" t="s">
        <v>414</v>
      </c>
      <c r="AE162" s="80" t="s">
        <v>415</v>
      </c>
      <c r="AF162" s="80" t="s">
        <v>416</v>
      </c>
      <c r="AG162" s="82" t="s">
        <v>417</v>
      </c>
      <c r="AH162" s="80" t="s">
        <v>418</v>
      </c>
    </row>
    <row r="163" customFormat="false" ht="12.75" hidden="false" customHeight="false" outlineLevel="0" collapsed="false">
      <c r="AC163" s="77" t="s">
        <v>419</v>
      </c>
      <c r="AD163" s="80" t="s">
        <v>420</v>
      </c>
      <c r="AE163" s="80" t="s">
        <v>421</v>
      </c>
      <c r="AF163" s="80" t="s">
        <v>422</v>
      </c>
      <c r="AG163" s="82" t="s">
        <v>423</v>
      </c>
      <c r="AH163" s="80" t="s">
        <v>424</v>
      </c>
    </row>
    <row r="164" customFormat="false" ht="12.75" hidden="false" customHeight="false" outlineLevel="0" collapsed="false">
      <c r="AC164" s="77" t="s">
        <v>425</v>
      </c>
      <c r="AD164" s="80" t="s">
        <v>426</v>
      </c>
      <c r="AE164" s="80" t="s">
        <v>427</v>
      </c>
      <c r="AF164" s="80" t="s">
        <v>428</v>
      </c>
      <c r="AG164" s="82" t="s">
        <v>429</v>
      </c>
      <c r="AH164" s="80" t="s">
        <v>430</v>
      </c>
    </row>
    <row r="165" customFormat="false" ht="12.75" hidden="false" customHeight="false" outlineLevel="0" collapsed="false">
      <c r="AC165" s="77" t="s">
        <v>431</v>
      </c>
      <c r="AD165" s="80" t="s">
        <v>432</v>
      </c>
      <c r="AE165" s="80" t="s">
        <v>433</v>
      </c>
      <c r="AF165" s="80" t="s">
        <v>434</v>
      </c>
      <c r="AG165" s="82" t="s">
        <v>435</v>
      </c>
      <c r="AH165" s="80" t="s">
        <v>436</v>
      </c>
    </row>
    <row r="166" customFormat="false" ht="12.75" hidden="false" customHeight="false" outlineLevel="0" collapsed="false">
      <c r="AC166" s="77" t="s">
        <v>437</v>
      </c>
      <c r="AD166" s="80" t="s">
        <v>438</v>
      </c>
      <c r="AE166" s="80" t="s">
        <v>439</v>
      </c>
      <c r="AF166" s="80" t="s">
        <v>438</v>
      </c>
      <c r="AG166" s="82" t="s">
        <v>440</v>
      </c>
      <c r="AH166" s="80" t="s">
        <v>441</v>
      </c>
    </row>
    <row r="167" customFormat="false" ht="12.75" hidden="false" customHeight="false" outlineLevel="0" collapsed="false">
      <c r="AC167" s="77" t="s">
        <v>442</v>
      </c>
      <c r="AD167" s="80" t="s">
        <v>443</v>
      </c>
      <c r="AE167" s="80" t="s">
        <v>444</v>
      </c>
      <c r="AF167" s="80" t="s">
        <v>170</v>
      </c>
      <c r="AG167" s="82" t="s">
        <v>445</v>
      </c>
      <c r="AH167" s="80" t="s">
        <v>446</v>
      </c>
    </row>
    <row r="168" customFormat="false" ht="12.75" hidden="false" customHeight="false" outlineLevel="0" collapsed="false">
      <c r="AC168" s="77" t="s">
        <v>447</v>
      </c>
      <c r="AD168" s="80" t="s">
        <v>448</v>
      </c>
      <c r="AE168" s="80" t="s">
        <v>449</v>
      </c>
      <c r="AF168" s="80" t="s">
        <v>450</v>
      </c>
      <c r="AG168" s="82" t="s">
        <v>451</v>
      </c>
      <c r="AH168" s="80" t="s">
        <v>452</v>
      </c>
    </row>
    <row r="169" customFormat="false" ht="12.75" hidden="false" customHeight="false" outlineLevel="0" collapsed="false">
      <c r="AC169" s="77" t="s">
        <v>453</v>
      </c>
      <c r="AD169" s="80" t="s">
        <v>454</v>
      </c>
      <c r="AE169" s="80" t="s">
        <v>455</v>
      </c>
      <c r="AF169" s="80" t="s">
        <v>456</v>
      </c>
      <c r="AG169" s="82" t="s">
        <v>457</v>
      </c>
      <c r="AH169" s="80" t="s">
        <v>458</v>
      </c>
    </row>
    <row r="170" customFormat="false" ht="12.75" hidden="false" customHeight="false" outlineLevel="0" collapsed="false">
      <c r="AC170" s="77" t="s">
        <v>459</v>
      </c>
      <c r="AD170" s="80" t="s">
        <v>460</v>
      </c>
      <c r="AE170" s="80" t="s">
        <v>461</v>
      </c>
      <c r="AF170" s="80" t="s">
        <v>462</v>
      </c>
      <c r="AG170" s="82" t="s">
        <v>463</v>
      </c>
      <c r="AH170" s="80" t="s">
        <v>464</v>
      </c>
    </row>
    <row r="171" customFormat="false" ht="12.75" hidden="false" customHeight="false" outlineLevel="0" collapsed="false">
      <c r="AC171" s="77" t="s">
        <v>465</v>
      </c>
      <c r="AD171" s="80" t="s">
        <v>466</v>
      </c>
      <c r="AE171" s="80" t="s">
        <v>467</v>
      </c>
      <c r="AF171" s="80" t="s">
        <v>466</v>
      </c>
      <c r="AG171" s="82" t="s">
        <v>468</v>
      </c>
      <c r="AH171" s="80" t="s">
        <v>469</v>
      </c>
    </row>
    <row r="172" customFormat="false" ht="12.75" hidden="false" customHeight="false" outlineLevel="0" collapsed="false">
      <c r="AC172" s="77" t="s">
        <v>470</v>
      </c>
      <c r="AD172" s="80" t="s">
        <v>471</v>
      </c>
      <c r="AE172" s="80" t="s">
        <v>472</v>
      </c>
      <c r="AF172" s="80" t="s">
        <v>473</v>
      </c>
      <c r="AG172" s="82" t="s">
        <v>474</v>
      </c>
      <c r="AH172" s="80" t="s">
        <v>475</v>
      </c>
    </row>
    <row r="173" customFormat="false" ht="12.75" hidden="false" customHeight="false" outlineLevel="0" collapsed="false">
      <c r="AC173" s="77" t="s">
        <v>476</v>
      </c>
      <c r="AD173" s="80" t="s">
        <v>477</v>
      </c>
      <c r="AE173" s="80" t="s">
        <v>478</v>
      </c>
      <c r="AF173" s="80" t="s">
        <v>477</v>
      </c>
      <c r="AG173" s="82" t="s">
        <v>479</v>
      </c>
      <c r="AH173" s="80" t="s">
        <v>476</v>
      </c>
    </row>
    <row r="174" customFormat="false" ht="12.75" hidden="false" customHeight="false" outlineLevel="0" collapsed="false">
      <c r="AC174" s="77" t="s">
        <v>480</v>
      </c>
      <c r="AD174" s="80" t="s">
        <v>481</v>
      </c>
      <c r="AE174" s="80" t="s">
        <v>87</v>
      </c>
      <c r="AF174" s="80" t="s">
        <v>482</v>
      </c>
      <c r="AG174" s="82" t="s">
        <v>483</v>
      </c>
      <c r="AH174" s="80" t="s">
        <v>90</v>
      </c>
    </row>
    <row r="175" customFormat="false" ht="12.75" hidden="false" customHeight="false" outlineLevel="0" collapsed="false">
      <c r="AC175" s="77" t="s">
        <v>484</v>
      </c>
      <c r="AD175" s="80" t="s">
        <v>481</v>
      </c>
      <c r="AE175" s="80" t="s">
        <v>87</v>
      </c>
      <c r="AF175" s="80" t="s">
        <v>485</v>
      </c>
      <c r="AG175" s="82" t="s">
        <v>486</v>
      </c>
      <c r="AH175" s="80" t="s">
        <v>487</v>
      </c>
    </row>
    <row r="176" customFormat="false" ht="12.75" hidden="false" customHeight="false" outlineLevel="0" collapsed="false">
      <c r="AC176" s="77" t="s">
        <v>488</v>
      </c>
      <c r="AD176" s="80" t="s">
        <v>489</v>
      </c>
      <c r="AE176" s="80" t="s">
        <v>490</v>
      </c>
      <c r="AF176" s="80" t="s">
        <v>491</v>
      </c>
      <c r="AG176" s="82" t="s">
        <v>492</v>
      </c>
      <c r="AH176" s="80" t="s">
        <v>493</v>
      </c>
    </row>
    <row r="177" customFormat="false" ht="12.75" hidden="false" customHeight="false" outlineLevel="0" collapsed="false">
      <c r="AC177" s="77" t="s">
        <v>494</v>
      </c>
      <c r="AD177" s="80" t="s">
        <v>495</v>
      </c>
      <c r="AE177" s="80" t="s">
        <v>496</v>
      </c>
      <c r="AF177" s="80" t="s">
        <v>497</v>
      </c>
      <c r="AG177" s="82" t="s">
        <v>498</v>
      </c>
      <c r="AH177" s="80" t="s">
        <v>499</v>
      </c>
    </row>
    <row r="178" customFormat="false" ht="12.75" hidden="false" customHeight="false" outlineLevel="0" collapsed="false">
      <c r="AC178" s="77" t="s">
        <v>500</v>
      </c>
      <c r="AD178" s="80" t="s">
        <v>501</v>
      </c>
      <c r="AE178" s="80" t="s">
        <v>502</v>
      </c>
      <c r="AF178" s="80" t="s">
        <v>503</v>
      </c>
      <c r="AG178" s="82" t="s">
        <v>504</v>
      </c>
      <c r="AH178" s="80" t="s">
        <v>505</v>
      </c>
    </row>
    <row r="179" customFormat="false" ht="12.75" hidden="false" customHeight="false" outlineLevel="0" collapsed="false">
      <c r="AC179" s="77" t="s">
        <v>506</v>
      </c>
      <c r="AD179" s="80" t="s">
        <v>507</v>
      </c>
      <c r="AE179" s="80" t="s">
        <v>508</v>
      </c>
      <c r="AF179" s="80" t="s">
        <v>509</v>
      </c>
      <c r="AG179" s="82" t="s">
        <v>510</v>
      </c>
      <c r="AH179" s="80" t="s">
        <v>511</v>
      </c>
    </row>
    <row r="180" customFormat="false" ht="12.75" hidden="false" customHeight="false" outlineLevel="0" collapsed="false">
      <c r="AC180" s="77" t="s">
        <v>512</v>
      </c>
      <c r="AD180" s="80" t="s">
        <v>513</v>
      </c>
      <c r="AE180" s="80" t="s">
        <v>514</v>
      </c>
      <c r="AF180" s="80" t="s">
        <v>515</v>
      </c>
      <c r="AG180" s="82" t="s">
        <v>516</v>
      </c>
      <c r="AH180" s="80" t="s">
        <v>517</v>
      </c>
    </row>
    <row r="181" customFormat="false" ht="12.75" hidden="false" customHeight="false" outlineLevel="0" collapsed="false">
      <c r="AC181" s="77" t="s">
        <v>518</v>
      </c>
      <c r="AD181" s="80" t="s">
        <v>519</v>
      </c>
      <c r="AE181" s="80" t="s">
        <v>520</v>
      </c>
      <c r="AF181" s="80" t="s">
        <v>521</v>
      </c>
      <c r="AG181" s="82" t="s">
        <v>522</v>
      </c>
      <c r="AH181" s="80" t="s">
        <v>523</v>
      </c>
    </row>
    <row r="182" customFormat="false" ht="12.75" hidden="false" customHeight="false" outlineLevel="0" collapsed="false">
      <c r="AC182" s="77" t="s">
        <v>524</v>
      </c>
      <c r="AD182" s="80" t="s">
        <v>524</v>
      </c>
      <c r="AE182" s="80" t="s">
        <v>525</v>
      </c>
      <c r="AF182" s="80" t="s">
        <v>526</v>
      </c>
      <c r="AG182" s="82" t="s">
        <v>527</v>
      </c>
      <c r="AH182" s="80" t="s">
        <v>528</v>
      </c>
    </row>
    <row r="183" customFormat="false" ht="12.75" hidden="false" customHeight="false" outlineLevel="0" collapsed="false">
      <c r="AC183" s="77" t="s">
        <v>529</v>
      </c>
      <c r="AD183" s="80" t="s">
        <v>530</v>
      </c>
      <c r="AE183" s="80" t="s">
        <v>531</v>
      </c>
      <c r="AF183" s="80" t="s">
        <v>532</v>
      </c>
      <c r="AG183" s="82" t="s">
        <v>533</v>
      </c>
      <c r="AH183" s="80" t="s">
        <v>534</v>
      </c>
    </row>
    <row r="184" customFormat="false" ht="12.75" hidden="false" customHeight="false" outlineLevel="0" collapsed="false">
      <c r="AC184" s="77" t="s">
        <v>535</v>
      </c>
      <c r="AD184" s="80" t="s">
        <v>536</v>
      </c>
      <c r="AE184" s="80" t="s">
        <v>537</v>
      </c>
      <c r="AF184" s="80" t="s">
        <v>538</v>
      </c>
      <c r="AG184" s="82" t="s">
        <v>539</v>
      </c>
      <c r="AH184" s="80" t="s">
        <v>540</v>
      </c>
    </row>
    <row r="185" customFormat="false" ht="12.75" hidden="false" customHeight="false" outlineLevel="0" collapsed="false">
      <c r="AC185" s="77" t="s">
        <v>541</v>
      </c>
      <c r="AD185" s="80" t="s">
        <v>542</v>
      </c>
      <c r="AE185" s="80" t="s">
        <v>543</v>
      </c>
      <c r="AF185" s="80" t="s">
        <v>542</v>
      </c>
      <c r="AG185" s="82" t="s">
        <v>544</v>
      </c>
      <c r="AH185" s="80" t="s">
        <v>545</v>
      </c>
    </row>
    <row r="186" customFormat="false" ht="12.75" hidden="false" customHeight="false" outlineLevel="0" collapsed="false">
      <c r="AC186" s="77" t="s">
        <v>546</v>
      </c>
      <c r="AD186" s="80" t="s">
        <v>547</v>
      </c>
      <c r="AE186" s="80" t="s">
        <v>548</v>
      </c>
      <c r="AF186" s="80" t="s">
        <v>547</v>
      </c>
      <c r="AG186" s="82" t="s">
        <v>549</v>
      </c>
      <c r="AH186" s="80" t="s">
        <v>550</v>
      </c>
    </row>
    <row r="187" customFormat="false" ht="12.75" hidden="false" customHeight="false" outlineLevel="0" collapsed="false">
      <c r="AC187" s="77" t="s">
        <v>48</v>
      </c>
      <c r="AD187" s="80" t="s">
        <v>551</v>
      </c>
      <c r="AE187" s="80" t="s">
        <v>552</v>
      </c>
      <c r="AF187" s="80" t="s">
        <v>553</v>
      </c>
      <c r="AG187" s="82" t="s">
        <v>50</v>
      </c>
      <c r="AH187" s="80" t="s">
        <v>51</v>
      </c>
    </row>
    <row r="188" customFormat="false" ht="12.75" hidden="false" customHeight="false" outlineLevel="0" collapsed="false">
      <c r="AC188" s="77" t="s">
        <v>554</v>
      </c>
      <c r="AD188" s="80" t="s">
        <v>555</v>
      </c>
      <c r="AE188" s="80" t="s">
        <v>556</v>
      </c>
      <c r="AF188" s="80" t="s">
        <v>557</v>
      </c>
      <c r="AG188" s="82" t="s">
        <v>558</v>
      </c>
      <c r="AH188" s="80" t="s">
        <v>559</v>
      </c>
    </row>
    <row r="189" customFormat="false" ht="12.75" hidden="false" customHeight="false" outlineLevel="0" collapsed="false">
      <c r="AC189" s="77" t="s">
        <v>560</v>
      </c>
      <c r="AD189" s="80" t="s">
        <v>561</v>
      </c>
      <c r="AE189" s="80" t="s">
        <v>562</v>
      </c>
      <c r="AF189" s="80" t="s">
        <v>563</v>
      </c>
      <c r="AG189" s="82" t="s">
        <v>564</v>
      </c>
      <c r="AH189" s="80" t="s">
        <v>565</v>
      </c>
    </row>
    <row r="190" customFormat="false" ht="12.75" hidden="false" customHeight="false" outlineLevel="0" collapsed="false">
      <c r="AC190" s="77" t="s">
        <v>566</v>
      </c>
      <c r="AD190" s="80" t="s">
        <v>567</v>
      </c>
      <c r="AE190" s="80" t="s">
        <v>568</v>
      </c>
      <c r="AF190" s="80" t="s">
        <v>569</v>
      </c>
      <c r="AG190" s="82" t="s">
        <v>570</v>
      </c>
      <c r="AH190" s="80" t="s">
        <v>571</v>
      </c>
    </row>
    <row r="191" customFormat="false" ht="12.75" hidden="false" customHeight="false" outlineLevel="0" collapsed="false">
      <c r="AC191" s="77" t="s">
        <v>572</v>
      </c>
      <c r="AD191" s="80" t="s">
        <v>573</v>
      </c>
      <c r="AE191" s="80" t="s">
        <v>562</v>
      </c>
      <c r="AF191" s="80" t="s">
        <v>574</v>
      </c>
      <c r="AG191" s="82" t="s">
        <v>575</v>
      </c>
      <c r="AH191" s="80" t="s">
        <v>576</v>
      </c>
    </row>
    <row r="192" customFormat="false" ht="12.75" hidden="false" customHeight="false" outlineLevel="0" collapsed="false">
      <c r="AC192" s="77" t="s">
        <v>577</v>
      </c>
      <c r="AD192" s="80" t="s">
        <v>578</v>
      </c>
      <c r="AE192" s="80" t="s">
        <v>579</v>
      </c>
      <c r="AF192" s="80" t="s">
        <v>580</v>
      </c>
      <c r="AG192" s="82" t="s">
        <v>581</v>
      </c>
      <c r="AH192" s="80" t="s">
        <v>582</v>
      </c>
    </row>
    <row r="193" customFormat="false" ht="12.75" hidden="false" customHeight="false" outlineLevel="0" collapsed="false">
      <c r="AC193" s="77" t="s">
        <v>577</v>
      </c>
      <c r="AD193" s="80" t="s">
        <v>578</v>
      </c>
      <c r="AE193" s="80" t="s">
        <v>579</v>
      </c>
      <c r="AF193" s="80" t="s">
        <v>580</v>
      </c>
      <c r="AG193" s="82" t="s">
        <v>581</v>
      </c>
      <c r="AH193" s="80" t="s">
        <v>582</v>
      </c>
    </row>
    <row r="194" customFormat="false" ht="12.75" hidden="false" customHeight="false" outlineLevel="0" collapsed="false">
      <c r="AC194" s="77" t="s">
        <v>583</v>
      </c>
      <c r="AD194" s="80" t="s">
        <v>584</v>
      </c>
      <c r="AE194" s="80" t="s">
        <v>585</v>
      </c>
      <c r="AF194" s="80" t="s">
        <v>584</v>
      </c>
      <c r="AG194" s="82" t="s">
        <v>586</v>
      </c>
      <c r="AH194" s="80" t="s">
        <v>587</v>
      </c>
    </row>
    <row r="195" customFormat="false" ht="12.75" hidden="false" customHeight="false" outlineLevel="0" collapsed="false">
      <c r="AC195" s="77" t="s">
        <v>588</v>
      </c>
      <c r="AD195" s="80" t="s">
        <v>589</v>
      </c>
      <c r="AE195" s="80" t="s">
        <v>590</v>
      </c>
      <c r="AF195" s="80" t="s">
        <v>591</v>
      </c>
      <c r="AG195" s="82" t="s">
        <v>592</v>
      </c>
      <c r="AH195" s="80" t="s">
        <v>593</v>
      </c>
    </row>
    <row r="196" customFormat="false" ht="12.75" hidden="false" customHeight="false" outlineLevel="0" collapsed="false">
      <c r="AC196" s="77" t="s">
        <v>594</v>
      </c>
      <c r="AD196" s="80" t="s">
        <v>595</v>
      </c>
      <c r="AE196" s="80" t="s">
        <v>596</v>
      </c>
      <c r="AF196" s="80" t="s">
        <v>597</v>
      </c>
      <c r="AG196" s="82" t="s">
        <v>598</v>
      </c>
      <c r="AH196" s="80" t="s">
        <v>599</v>
      </c>
    </row>
    <row r="197" customFormat="false" ht="12.75" hidden="false" customHeight="false" outlineLevel="0" collapsed="false">
      <c r="AC197" s="77" t="s">
        <v>600</v>
      </c>
      <c r="AD197" s="80" t="s">
        <v>601</v>
      </c>
      <c r="AE197" s="80" t="s">
        <v>602</v>
      </c>
      <c r="AF197" s="80" t="s">
        <v>603</v>
      </c>
      <c r="AG197" s="82" t="s">
        <v>604</v>
      </c>
      <c r="AH197" s="80" t="s">
        <v>605</v>
      </c>
    </row>
    <row r="198" customFormat="false" ht="12.75" hidden="false" customHeight="false" outlineLevel="0" collapsed="false">
      <c r="AC198" s="77" t="s">
        <v>64</v>
      </c>
      <c r="AD198" s="80" t="s">
        <v>65</v>
      </c>
      <c r="AE198" s="80" t="s">
        <v>66</v>
      </c>
      <c r="AF198" s="80" t="s">
        <v>67</v>
      </c>
      <c r="AG198" s="85" t="s">
        <v>68</v>
      </c>
      <c r="AH198" s="80" t="s">
        <v>69</v>
      </c>
    </row>
    <row r="199" customFormat="false" ht="12.75" hidden="false" customHeight="false" outlineLevel="0" collapsed="false">
      <c r="AC199" s="77" t="s">
        <v>606</v>
      </c>
      <c r="AD199" s="80" t="s">
        <v>607</v>
      </c>
      <c r="AE199" s="80" t="s">
        <v>608</v>
      </c>
      <c r="AF199" s="80" t="s">
        <v>607</v>
      </c>
      <c r="AG199" s="82" t="s">
        <v>609</v>
      </c>
      <c r="AH199" s="80" t="s">
        <v>610</v>
      </c>
    </row>
    <row r="200" customFormat="false" ht="12.75" hidden="false" customHeight="false" outlineLevel="0" collapsed="false">
      <c r="AC200" s="77" t="s">
        <v>60</v>
      </c>
      <c r="AD200" s="80" t="s">
        <v>611</v>
      </c>
      <c r="AE200" s="80" t="s">
        <v>612</v>
      </c>
      <c r="AF200" s="80" t="s">
        <v>61</v>
      </c>
      <c r="AG200" s="82" t="s">
        <v>62</v>
      </c>
      <c r="AH200" s="80" t="s">
        <v>63</v>
      </c>
    </row>
    <row r="201" customFormat="false" ht="12.75" hidden="false" customHeight="false" outlineLevel="0" collapsed="false">
      <c r="AC201" s="81" t="s">
        <v>613</v>
      </c>
      <c r="AD201" s="80" t="s">
        <v>98</v>
      </c>
      <c r="AE201" s="80" t="s">
        <v>99</v>
      </c>
      <c r="AF201" s="80" t="s">
        <v>100</v>
      </c>
      <c r="AG201" s="82" t="s">
        <v>101</v>
      </c>
      <c r="AH201" s="80" t="s">
        <v>614</v>
      </c>
    </row>
    <row r="202" customFormat="false" ht="12.75" hidden="false" customHeight="false" outlineLevel="0" collapsed="false">
      <c r="AC202" s="77" t="s">
        <v>615</v>
      </c>
      <c r="AD202" s="80" t="s">
        <v>616</v>
      </c>
      <c r="AE202" s="80" t="s">
        <v>617</v>
      </c>
      <c r="AF202" s="80" t="s">
        <v>618</v>
      </c>
      <c r="AG202" s="82" t="s">
        <v>619</v>
      </c>
      <c r="AH202" s="80" t="s">
        <v>620</v>
      </c>
    </row>
    <row r="203" customFormat="false" ht="12.75" hidden="false" customHeight="false" outlineLevel="0" collapsed="false">
      <c r="AC203" s="77" t="s">
        <v>621</v>
      </c>
      <c r="AD203" s="80" t="s">
        <v>622</v>
      </c>
      <c r="AE203" s="80" t="s">
        <v>19</v>
      </c>
      <c r="AF203" s="80" t="s">
        <v>623</v>
      </c>
      <c r="AG203" s="80" t="s">
        <v>624</v>
      </c>
      <c r="AH203" s="80" t="s">
        <v>625</v>
      </c>
    </row>
    <row r="204" customFormat="false" ht="12.75" hidden="false" customHeight="false" outlineLevel="0" collapsed="false">
      <c r="AC204" s="77" t="s">
        <v>626</v>
      </c>
      <c r="AD204" s="80" t="s">
        <v>627</v>
      </c>
      <c r="AE204" s="80" t="s">
        <v>628</v>
      </c>
      <c r="AF204" s="80" t="s">
        <v>629</v>
      </c>
      <c r="AG204" s="82" t="s">
        <v>630</v>
      </c>
      <c r="AH204" s="80" t="s">
        <v>631</v>
      </c>
    </row>
    <row r="205" customFormat="false" ht="12.75" hidden="false" customHeight="false" outlineLevel="0" collapsed="false">
      <c r="AC205" s="77" t="s">
        <v>632</v>
      </c>
      <c r="AD205" s="80" t="s">
        <v>633</v>
      </c>
      <c r="AE205" s="80" t="s">
        <v>634</v>
      </c>
      <c r="AF205" s="80" t="s">
        <v>635</v>
      </c>
      <c r="AG205" s="82" t="s">
        <v>636</v>
      </c>
      <c r="AH205" s="80" t="s">
        <v>637</v>
      </c>
    </row>
    <row r="206" customFormat="false" ht="12.75" hidden="false" customHeight="false" outlineLevel="0" collapsed="false">
      <c r="AC206" s="77" t="s">
        <v>638</v>
      </c>
      <c r="AD206" s="80" t="s">
        <v>639</v>
      </c>
      <c r="AE206" s="80" t="s">
        <v>640</v>
      </c>
      <c r="AF206" s="80" t="s">
        <v>641</v>
      </c>
      <c r="AG206" s="82" t="s">
        <v>642</v>
      </c>
      <c r="AH206" s="80" t="s">
        <v>643</v>
      </c>
    </row>
    <row r="207" customFormat="false" ht="12.75" hidden="false" customHeight="false" outlineLevel="0" collapsed="false">
      <c r="AC207" s="77" t="s">
        <v>644</v>
      </c>
      <c r="AD207" s="80" t="s">
        <v>645</v>
      </c>
      <c r="AE207" s="80" t="s">
        <v>193</v>
      </c>
      <c r="AF207" s="80" t="s">
        <v>646</v>
      </c>
      <c r="AG207" s="82" t="s">
        <v>647</v>
      </c>
      <c r="AH207" s="80" t="s">
        <v>648</v>
      </c>
    </row>
    <row r="208" customFormat="false" ht="12.75" hidden="false" customHeight="false" outlineLevel="0" collapsed="false">
      <c r="AC208" s="77" t="s">
        <v>649</v>
      </c>
      <c r="AD208" s="80" t="s">
        <v>650</v>
      </c>
      <c r="AE208" s="80" t="s">
        <v>651</v>
      </c>
      <c r="AF208" s="80" t="s">
        <v>652</v>
      </c>
      <c r="AG208" s="82" t="s">
        <v>653</v>
      </c>
      <c r="AH208" s="80" t="s">
        <v>654</v>
      </c>
    </row>
    <row r="209" customFormat="false" ht="12.75" hidden="false" customHeight="false" outlineLevel="0" collapsed="false">
      <c r="AC209" s="77" t="s">
        <v>655</v>
      </c>
      <c r="AD209" s="80" t="s">
        <v>656</v>
      </c>
      <c r="AE209" s="80" t="s">
        <v>657</v>
      </c>
      <c r="AF209" s="80" t="s">
        <v>658</v>
      </c>
      <c r="AG209" s="82" t="s">
        <v>659</v>
      </c>
      <c r="AH209" s="80" t="s">
        <v>660</v>
      </c>
    </row>
    <row r="210" customFormat="false" ht="12.75" hidden="false" customHeight="false" outlineLevel="0" collapsed="false">
      <c r="AC210" s="77" t="s">
        <v>661</v>
      </c>
      <c r="AD210" s="80" t="s">
        <v>662</v>
      </c>
      <c r="AE210" s="80" t="s">
        <v>663</v>
      </c>
      <c r="AF210" s="80" t="s">
        <v>664</v>
      </c>
      <c r="AG210" s="82" t="s">
        <v>665</v>
      </c>
      <c r="AH210" s="80" t="s">
        <v>666</v>
      </c>
    </row>
    <row r="211" customFormat="false" ht="12.75" hidden="false" customHeight="false" outlineLevel="0" collapsed="false">
      <c r="AC211" s="77" t="s">
        <v>667</v>
      </c>
      <c r="AD211" s="80" t="s">
        <v>668</v>
      </c>
      <c r="AE211" s="80" t="s">
        <v>669</v>
      </c>
      <c r="AF211" s="80" t="s">
        <v>670</v>
      </c>
      <c r="AG211" s="82" t="s">
        <v>671</v>
      </c>
      <c r="AH211" s="80" t="s">
        <v>672</v>
      </c>
    </row>
    <row r="212" customFormat="false" ht="12.75" hidden="false" customHeight="false" outlineLevel="0" collapsed="false">
      <c r="AC212" s="77" t="s">
        <v>673</v>
      </c>
      <c r="AD212" s="80" t="s">
        <v>674</v>
      </c>
      <c r="AE212" s="80" t="s">
        <v>675</v>
      </c>
      <c r="AF212" s="80" t="s">
        <v>676</v>
      </c>
      <c r="AG212" s="82" t="s">
        <v>677</v>
      </c>
      <c r="AH212" s="80" t="s">
        <v>678</v>
      </c>
    </row>
    <row r="213" customFormat="false" ht="12.75" hidden="false" customHeight="false" outlineLevel="0" collapsed="false">
      <c r="AC213" s="77" t="s">
        <v>679</v>
      </c>
      <c r="AD213" s="80" t="s">
        <v>680</v>
      </c>
      <c r="AE213" s="80" t="s">
        <v>681</v>
      </c>
      <c r="AF213" s="80" t="s">
        <v>682</v>
      </c>
      <c r="AG213" s="82" t="s">
        <v>683</v>
      </c>
      <c r="AH213" s="80" t="s">
        <v>684</v>
      </c>
    </row>
    <row r="214" customFormat="false" ht="12.75" hidden="false" customHeight="false" outlineLevel="0" collapsed="false">
      <c r="AC214" s="77" t="s">
        <v>685</v>
      </c>
      <c r="AD214" s="80" t="s">
        <v>686</v>
      </c>
      <c r="AE214" s="80" t="s">
        <v>687</v>
      </c>
      <c r="AF214" s="80" t="s">
        <v>688</v>
      </c>
      <c r="AG214" s="82" t="s">
        <v>689</v>
      </c>
      <c r="AH214" s="80" t="s">
        <v>690</v>
      </c>
    </row>
    <row r="215" customFormat="false" ht="12.75" hidden="false" customHeight="false" outlineLevel="0" collapsed="false">
      <c r="AC215" s="77" t="s">
        <v>10</v>
      </c>
      <c r="AD215" s="80" t="s">
        <v>11</v>
      </c>
      <c r="AE215" s="80" t="s">
        <v>691</v>
      </c>
      <c r="AF215" s="80" t="s">
        <v>692</v>
      </c>
      <c r="AG215" s="82" t="s">
        <v>693</v>
      </c>
      <c r="AH215" s="80" t="s">
        <v>694</v>
      </c>
    </row>
    <row r="216" customFormat="false" ht="12.75" hidden="false" customHeight="false" outlineLevel="0" collapsed="false">
      <c r="AC216" s="77" t="s">
        <v>12</v>
      </c>
      <c r="AD216" s="80" t="s">
        <v>13</v>
      </c>
      <c r="AE216" s="80" t="s">
        <v>695</v>
      </c>
      <c r="AF216" s="80" t="s">
        <v>696</v>
      </c>
      <c r="AG216" s="82" t="s">
        <v>697</v>
      </c>
      <c r="AH216" s="80" t="s">
        <v>698</v>
      </c>
    </row>
    <row r="217" customFormat="false" ht="12.75" hidden="false" customHeight="false" outlineLevel="0" collapsed="false">
      <c r="AC217" s="77" t="s">
        <v>699</v>
      </c>
      <c r="AD217" s="80" t="s">
        <v>700</v>
      </c>
      <c r="AE217" s="80" t="s">
        <v>701</v>
      </c>
      <c r="AF217" s="80" t="s">
        <v>702</v>
      </c>
      <c r="AG217" s="82" t="s">
        <v>703</v>
      </c>
      <c r="AH217" s="80" t="s">
        <v>704</v>
      </c>
    </row>
    <row r="218" customFormat="false" ht="12.75" hidden="false" customHeight="false" outlineLevel="0" collapsed="false">
      <c r="AC218" s="77" t="s">
        <v>705</v>
      </c>
      <c r="AD218" s="80" t="s">
        <v>706</v>
      </c>
      <c r="AE218" s="80" t="s">
        <v>707</v>
      </c>
      <c r="AF218" s="80" t="s">
        <v>708</v>
      </c>
      <c r="AG218" s="82" t="s">
        <v>709</v>
      </c>
      <c r="AH218" s="80" t="s">
        <v>710</v>
      </c>
    </row>
    <row r="219" customFormat="false" ht="12.75" hidden="false" customHeight="false" outlineLevel="0" collapsed="false">
      <c r="AC219" s="77" t="s">
        <v>711</v>
      </c>
      <c r="AD219" s="80" t="s">
        <v>712</v>
      </c>
      <c r="AE219" s="80" t="s">
        <v>590</v>
      </c>
      <c r="AF219" s="80" t="s">
        <v>713</v>
      </c>
      <c r="AG219" s="82" t="s">
        <v>714</v>
      </c>
      <c r="AH219" s="80" t="s">
        <v>715</v>
      </c>
    </row>
    <row r="220" customFormat="false" ht="12.75" hidden="false" customHeight="false" outlineLevel="0" collapsed="false">
      <c r="AC220" s="77" t="s">
        <v>716</v>
      </c>
      <c r="AD220" s="80" t="s">
        <v>717</v>
      </c>
      <c r="AE220" s="80" t="s">
        <v>718</v>
      </c>
      <c r="AF220" s="80" t="s">
        <v>719</v>
      </c>
      <c r="AG220" s="82" t="s">
        <v>720</v>
      </c>
      <c r="AH220" s="80" t="s">
        <v>721</v>
      </c>
    </row>
    <row r="221" customFormat="false" ht="12.75" hidden="false" customHeight="false" outlineLevel="0" collapsed="false">
      <c r="AC221" s="77" t="s">
        <v>722</v>
      </c>
      <c r="AD221" s="80" t="s">
        <v>723</v>
      </c>
      <c r="AE221" s="80" t="s">
        <v>724</v>
      </c>
      <c r="AF221" s="80" t="s">
        <v>725</v>
      </c>
      <c r="AG221" s="82" t="s">
        <v>726</v>
      </c>
      <c r="AH221" s="80" t="s">
        <v>727</v>
      </c>
    </row>
    <row r="222" customFormat="false" ht="12.75" hidden="false" customHeight="false" outlineLevel="0" collapsed="false">
      <c r="AC222" s="77" t="s">
        <v>44</v>
      </c>
      <c r="AD222" s="80" t="s">
        <v>728</v>
      </c>
      <c r="AE222" s="80" t="s">
        <v>729</v>
      </c>
      <c r="AF222" s="80" t="s">
        <v>728</v>
      </c>
      <c r="AG222" s="82" t="s">
        <v>730</v>
      </c>
      <c r="AH222" s="80" t="s">
        <v>47</v>
      </c>
    </row>
    <row r="223" customFormat="false" ht="12.75" hidden="false" customHeight="false" outlineLevel="0" collapsed="false">
      <c r="AC223" s="77" t="s">
        <v>731</v>
      </c>
      <c r="AD223" s="80" t="s">
        <v>732</v>
      </c>
      <c r="AE223" s="80" t="s">
        <v>733</v>
      </c>
      <c r="AF223" s="80" t="s">
        <v>734</v>
      </c>
      <c r="AG223" s="82" t="s">
        <v>735</v>
      </c>
      <c r="AH223" s="80" t="s">
        <v>736</v>
      </c>
    </row>
    <row r="224" customFormat="false" ht="12.75" hidden="false" customHeight="false" outlineLevel="0" collapsed="false">
      <c r="AC224" s="77" t="s">
        <v>737</v>
      </c>
      <c r="AD224" s="80" t="s">
        <v>738</v>
      </c>
      <c r="AE224" s="80" t="s">
        <v>739</v>
      </c>
      <c r="AF224" s="80" t="s">
        <v>740</v>
      </c>
      <c r="AG224" s="82" t="s">
        <v>741</v>
      </c>
      <c r="AH224" s="80" t="s">
        <v>742</v>
      </c>
    </row>
    <row r="225" customFormat="false" ht="12.75" hidden="false" customHeight="false" outlineLevel="0" collapsed="false">
      <c r="AC225" s="77" t="s">
        <v>743</v>
      </c>
      <c r="AD225" s="80" t="s">
        <v>744</v>
      </c>
      <c r="AE225" s="80" t="s">
        <v>745</v>
      </c>
      <c r="AF225" s="80" t="s">
        <v>746</v>
      </c>
      <c r="AG225" s="82" t="s">
        <v>747</v>
      </c>
      <c r="AH225" s="80" t="s">
        <v>748</v>
      </c>
    </row>
    <row r="226" customFormat="false" ht="12.75" hidden="false" customHeight="false" outlineLevel="0" collapsed="false">
      <c r="AC226" s="77" t="s">
        <v>749</v>
      </c>
      <c r="AD226" s="80" t="s">
        <v>750</v>
      </c>
      <c r="AE226" s="80" t="s">
        <v>751</v>
      </c>
      <c r="AF226" s="80" t="s">
        <v>752</v>
      </c>
      <c r="AG226" s="82" t="s">
        <v>753</v>
      </c>
      <c r="AH226" s="80" t="s">
        <v>754</v>
      </c>
    </row>
    <row r="227" customFormat="false" ht="12.75" hidden="false" customHeight="false" outlineLevel="0" collapsed="false">
      <c r="AC227" s="77" t="s">
        <v>755</v>
      </c>
      <c r="AD227" s="80" t="s">
        <v>756</v>
      </c>
      <c r="AE227" s="80" t="s">
        <v>757</v>
      </c>
      <c r="AF227" s="80" t="s">
        <v>758</v>
      </c>
      <c r="AG227" s="80" t="s">
        <v>759</v>
      </c>
      <c r="AH227" s="80" t="s">
        <v>760</v>
      </c>
    </row>
    <row r="228" customFormat="false" ht="12.75" hidden="false" customHeight="false" outlineLevel="0" collapsed="false">
      <c r="AC228" s="77" t="s">
        <v>761</v>
      </c>
      <c r="AD228" s="80" t="s">
        <v>762</v>
      </c>
      <c r="AE228" s="80" t="s">
        <v>763</v>
      </c>
      <c r="AF228" s="80" t="s">
        <v>764</v>
      </c>
      <c r="AG228" s="80" t="s">
        <v>765</v>
      </c>
      <c r="AH228" s="80" t="s">
        <v>766</v>
      </c>
    </row>
    <row r="229" customFormat="false" ht="12.75" hidden="false" customHeight="false" outlineLevel="0" collapsed="false">
      <c r="AC229" s="77" t="s">
        <v>767</v>
      </c>
      <c r="AD229" s="80" t="s">
        <v>768</v>
      </c>
      <c r="AE229" s="80" t="s">
        <v>769</v>
      </c>
      <c r="AF229" s="80" t="s">
        <v>770</v>
      </c>
      <c r="AG229" s="80" t="s">
        <v>771</v>
      </c>
      <c r="AH229" s="80" t="s">
        <v>772</v>
      </c>
    </row>
    <row r="230" customFormat="false" ht="12.75" hidden="false" customHeight="false" outlineLevel="0" collapsed="false">
      <c r="AC230" s="77" t="s">
        <v>773</v>
      </c>
      <c r="AD230" s="80" t="s">
        <v>774</v>
      </c>
      <c r="AE230" s="80" t="s">
        <v>775</v>
      </c>
      <c r="AF230" s="80" t="s">
        <v>776</v>
      </c>
      <c r="AG230" s="80" t="s">
        <v>777</v>
      </c>
      <c r="AH230" s="80" t="s">
        <v>778</v>
      </c>
    </row>
    <row r="231" customFormat="false" ht="12.75" hidden="false" customHeight="false" outlineLevel="0" collapsed="false">
      <c r="AC231" s="77" t="s">
        <v>779</v>
      </c>
      <c r="AD231" s="80" t="s">
        <v>780</v>
      </c>
      <c r="AE231" s="80" t="s">
        <v>781</v>
      </c>
      <c r="AF231" s="80" t="s">
        <v>782</v>
      </c>
      <c r="AG231" s="82" t="s">
        <v>783</v>
      </c>
      <c r="AH231" s="80" t="s">
        <v>784</v>
      </c>
    </row>
    <row r="232" customFormat="false" ht="12.75" hidden="false" customHeight="false" outlineLevel="0" collapsed="false">
      <c r="AC232" s="77" t="s">
        <v>785</v>
      </c>
      <c r="AD232" s="80" t="s">
        <v>786</v>
      </c>
      <c r="AE232" s="80" t="s">
        <v>787</v>
      </c>
      <c r="AF232" s="80" t="s">
        <v>788</v>
      </c>
      <c r="AG232" s="80" t="s">
        <v>789</v>
      </c>
      <c r="AH232" s="80" t="s">
        <v>790</v>
      </c>
    </row>
    <row r="233" customFormat="false" ht="12.75" hidden="false" customHeight="false" outlineLevel="0" collapsed="false">
      <c r="AC233" s="77" t="s">
        <v>791</v>
      </c>
      <c r="AD233" s="80" t="s">
        <v>792</v>
      </c>
      <c r="AE233" s="80" t="s">
        <v>793</v>
      </c>
      <c r="AF233" s="80" t="s">
        <v>794</v>
      </c>
      <c r="AG233" s="82" t="s">
        <v>795</v>
      </c>
      <c r="AH233" s="80" t="s">
        <v>796</v>
      </c>
    </row>
    <row r="234" customFormat="false" ht="12.75" hidden="false" customHeight="false" outlineLevel="0" collapsed="false">
      <c r="AC234" s="77" t="s">
        <v>797</v>
      </c>
      <c r="AD234" s="80" t="s">
        <v>798</v>
      </c>
      <c r="AE234" s="80" t="s">
        <v>799</v>
      </c>
      <c r="AF234" s="80" t="s">
        <v>800</v>
      </c>
      <c r="AG234" s="82" t="s">
        <v>801</v>
      </c>
      <c r="AH234" s="80" t="s">
        <v>797</v>
      </c>
    </row>
    <row r="235" customFormat="false" ht="12.75" hidden="false" customHeight="false" outlineLevel="0" collapsed="false">
      <c r="AC235" s="77" t="s">
        <v>802</v>
      </c>
      <c r="AD235" s="80" t="s">
        <v>803</v>
      </c>
      <c r="AE235" s="80" t="s">
        <v>804</v>
      </c>
      <c r="AF235" s="80" t="s">
        <v>805</v>
      </c>
      <c r="AG235" s="82" t="s">
        <v>806</v>
      </c>
      <c r="AH235" s="80" t="s">
        <v>807</v>
      </c>
    </row>
    <row r="236" customFormat="false" ht="12.75" hidden="false" customHeight="false" outlineLevel="0" collapsed="false">
      <c r="AC236" s="77" t="s">
        <v>808</v>
      </c>
      <c r="AD236" s="80" t="s">
        <v>809</v>
      </c>
      <c r="AE236" s="80" t="s">
        <v>810</v>
      </c>
      <c r="AF236" s="80" t="s">
        <v>811</v>
      </c>
      <c r="AG236" s="82" t="s">
        <v>812</v>
      </c>
      <c r="AH236" s="80" t="s">
        <v>813</v>
      </c>
    </row>
    <row r="237" customFormat="false" ht="12.75" hidden="false" customHeight="false" outlineLevel="0" collapsed="false">
      <c r="AC237" s="77" t="s">
        <v>814</v>
      </c>
      <c r="AD237" s="80" t="s">
        <v>815</v>
      </c>
      <c r="AE237" s="80" t="s">
        <v>816</v>
      </c>
      <c r="AF237" s="80" t="s">
        <v>817</v>
      </c>
      <c r="AG237" s="82" t="s">
        <v>818</v>
      </c>
      <c r="AH237" s="80" t="s">
        <v>819</v>
      </c>
    </row>
    <row r="238" customFormat="false" ht="12.75" hidden="false" customHeight="false" outlineLevel="0" collapsed="false">
      <c r="AC238" s="77" t="s">
        <v>820</v>
      </c>
      <c r="AD238" s="80" t="s">
        <v>821</v>
      </c>
      <c r="AE238" s="80" t="s">
        <v>822</v>
      </c>
      <c r="AF238" s="80" t="s">
        <v>823</v>
      </c>
      <c r="AG238" s="82" t="s">
        <v>824</v>
      </c>
      <c r="AH238" s="80" t="s">
        <v>825</v>
      </c>
    </row>
    <row r="239" customFormat="false" ht="12.75" hidden="false" customHeight="false" outlineLevel="0" collapsed="false">
      <c r="AC239" s="77" t="s">
        <v>826</v>
      </c>
      <c r="AD239" s="80" t="s">
        <v>827</v>
      </c>
      <c r="AE239" s="80" t="s">
        <v>828</v>
      </c>
      <c r="AF239" s="80" t="s">
        <v>829</v>
      </c>
      <c r="AG239" s="82" t="s">
        <v>830</v>
      </c>
      <c r="AH239" s="80" t="s">
        <v>831</v>
      </c>
    </row>
    <row r="240" customFormat="false" ht="12.75" hidden="false" customHeight="false" outlineLevel="0" collapsed="false">
      <c r="AC240" s="77" t="s">
        <v>832</v>
      </c>
      <c r="AD240" s="80" t="s">
        <v>833</v>
      </c>
      <c r="AE240" s="80" t="s">
        <v>834</v>
      </c>
      <c r="AF240" s="80" t="s">
        <v>835</v>
      </c>
      <c r="AG240" s="82" t="s">
        <v>836</v>
      </c>
      <c r="AH240" s="80" t="s">
        <v>837</v>
      </c>
    </row>
    <row r="241" customFormat="false" ht="12.75" hidden="false" customHeight="false" outlineLevel="0" collapsed="false">
      <c r="AC241" s="77" t="s">
        <v>838</v>
      </c>
      <c r="AD241" s="80" t="s">
        <v>839</v>
      </c>
      <c r="AE241" s="80" t="s">
        <v>840</v>
      </c>
      <c r="AF241" s="80" t="s">
        <v>841</v>
      </c>
      <c r="AG241" s="82" t="s">
        <v>842</v>
      </c>
      <c r="AH241" s="80" t="s">
        <v>843</v>
      </c>
    </row>
    <row r="242" customFormat="false" ht="12.75" hidden="false" customHeight="false" outlineLevel="0" collapsed="false">
      <c r="AC242" s="77" t="s">
        <v>844</v>
      </c>
      <c r="AD242" s="80" t="s">
        <v>845</v>
      </c>
      <c r="AE242" s="80" t="s">
        <v>846</v>
      </c>
      <c r="AF242" s="80" t="s">
        <v>847</v>
      </c>
      <c r="AG242" s="82" t="s">
        <v>848</v>
      </c>
      <c r="AH242" s="80" t="s">
        <v>849</v>
      </c>
    </row>
    <row r="243" customFormat="false" ht="12.75" hidden="false" customHeight="false" outlineLevel="0" collapsed="false">
      <c r="AC243" s="77" t="s">
        <v>850</v>
      </c>
      <c r="AD243" s="80" t="s">
        <v>851</v>
      </c>
      <c r="AE243" s="80" t="s">
        <v>852</v>
      </c>
      <c r="AF243" s="80" t="s">
        <v>853</v>
      </c>
      <c r="AG243" s="82" t="s">
        <v>854</v>
      </c>
      <c r="AH243" s="80" t="s">
        <v>855</v>
      </c>
    </row>
    <row r="244" customFormat="false" ht="12.75" hidden="false" customHeight="false" outlineLevel="0" collapsed="false">
      <c r="AC244" s="77" t="s">
        <v>856</v>
      </c>
      <c r="AD244" s="80" t="s">
        <v>857</v>
      </c>
      <c r="AE244" s="80" t="s">
        <v>858</v>
      </c>
      <c r="AF244" s="80" t="s">
        <v>859</v>
      </c>
      <c r="AG244" s="82" t="s">
        <v>860</v>
      </c>
      <c r="AH244" s="80" t="s">
        <v>861</v>
      </c>
    </row>
    <row r="245" customFormat="false" ht="12.75" hidden="false" customHeight="false" outlineLevel="0" collapsed="false">
      <c r="AC245" s="77" t="s">
        <v>40</v>
      </c>
      <c r="AD245" s="80" t="s">
        <v>862</v>
      </c>
      <c r="AE245" s="80" t="s">
        <v>863</v>
      </c>
      <c r="AF245" s="80" t="s">
        <v>864</v>
      </c>
      <c r="AG245" s="82" t="s">
        <v>865</v>
      </c>
      <c r="AH245" s="80" t="s">
        <v>866</v>
      </c>
    </row>
    <row r="246" customFormat="false" ht="12.75" hidden="false" customHeight="false" outlineLevel="0" collapsed="false">
      <c r="AC246" s="77" t="s">
        <v>867</v>
      </c>
      <c r="AD246" s="80" t="s">
        <v>868</v>
      </c>
      <c r="AE246" s="80" t="s">
        <v>869</v>
      </c>
      <c r="AF246" s="80" t="s">
        <v>870</v>
      </c>
      <c r="AG246" s="82" t="s">
        <v>871</v>
      </c>
      <c r="AH246" s="80" t="s">
        <v>872</v>
      </c>
    </row>
    <row r="247" customFormat="false" ht="12.75" hidden="false" customHeight="false" outlineLevel="0" collapsed="false">
      <c r="AC247" s="77" t="s">
        <v>873</v>
      </c>
      <c r="AD247" s="80" t="s">
        <v>874</v>
      </c>
      <c r="AE247" s="80" t="s">
        <v>875</v>
      </c>
      <c r="AF247" s="80" t="s">
        <v>876</v>
      </c>
      <c r="AG247" s="82" t="s">
        <v>877</v>
      </c>
      <c r="AH247" s="80" t="s">
        <v>878</v>
      </c>
    </row>
    <row r="248" customFormat="false" ht="12.75" hidden="false" customHeight="false" outlineLevel="0" collapsed="false">
      <c r="AC248" s="77" t="s">
        <v>879</v>
      </c>
      <c r="AD248" s="80" t="s">
        <v>542</v>
      </c>
      <c r="AE248" s="80" t="s">
        <v>880</v>
      </c>
      <c r="AF248" s="80" t="s">
        <v>881</v>
      </c>
      <c r="AG248" s="82" t="s">
        <v>882</v>
      </c>
      <c r="AH248" s="80" t="s">
        <v>883</v>
      </c>
    </row>
    <row r="249" customFormat="false" ht="12.75" hidden="false" customHeight="false" outlineLevel="0" collapsed="false">
      <c r="AC249" s="77" t="s">
        <v>884</v>
      </c>
      <c r="AD249" s="80" t="s">
        <v>885</v>
      </c>
      <c r="AE249" s="80" t="s">
        <v>886</v>
      </c>
      <c r="AF249" s="80" t="s">
        <v>887</v>
      </c>
      <c r="AG249" s="82" t="s">
        <v>888</v>
      </c>
      <c r="AH249" s="80" t="s">
        <v>889</v>
      </c>
    </row>
    <row r="250" customFormat="false" ht="12.75" hidden="false" customHeight="false" outlineLevel="0" collapsed="false">
      <c r="AC250" s="77" t="s">
        <v>890</v>
      </c>
      <c r="AD250" s="80" t="s">
        <v>891</v>
      </c>
      <c r="AE250" s="80" t="s">
        <v>892</v>
      </c>
      <c r="AF250" s="80" t="s">
        <v>893</v>
      </c>
      <c r="AG250" s="82" t="s">
        <v>894</v>
      </c>
      <c r="AH250" s="80" t="s">
        <v>895</v>
      </c>
    </row>
    <row r="251" customFormat="false" ht="12.75" hidden="false" customHeight="false" outlineLevel="0" collapsed="false">
      <c r="AC251" s="77" t="s">
        <v>896</v>
      </c>
      <c r="AD251" s="80" t="s">
        <v>897</v>
      </c>
      <c r="AE251" s="80" t="s">
        <v>898</v>
      </c>
      <c r="AF251" s="80" t="s">
        <v>899</v>
      </c>
      <c r="AG251" s="82" t="s">
        <v>900</v>
      </c>
      <c r="AH251" s="80" t="s">
        <v>901</v>
      </c>
    </row>
    <row r="252" customFormat="false" ht="12.75" hidden="false" customHeight="false" outlineLevel="0" collapsed="false">
      <c r="AC252" s="77" t="s">
        <v>902</v>
      </c>
      <c r="AD252" s="80" t="s">
        <v>903</v>
      </c>
      <c r="AE252" s="80" t="s">
        <v>904</v>
      </c>
      <c r="AF252" s="80" t="s">
        <v>905</v>
      </c>
      <c r="AG252" s="82" t="s">
        <v>906</v>
      </c>
      <c r="AH252" s="80" t="s">
        <v>907</v>
      </c>
    </row>
    <row r="253" customFormat="false" ht="12.75" hidden="false" customHeight="false" outlineLevel="0" collapsed="false">
      <c r="AC253" s="77" t="s">
        <v>908</v>
      </c>
      <c r="AD253" s="80" t="s">
        <v>909</v>
      </c>
      <c r="AE253" s="80" t="s">
        <v>910</v>
      </c>
      <c r="AF253" s="80" t="s">
        <v>911</v>
      </c>
      <c r="AG253" s="82" t="s">
        <v>912</v>
      </c>
      <c r="AH253" s="80" t="s">
        <v>913</v>
      </c>
    </row>
    <row r="254" customFormat="false" ht="12.75" hidden="false" customHeight="false" outlineLevel="0" collapsed="false">
      <c r="AC254" s="77" t="s">
        <v>914</v>
      </c>
      <c r="AD254" s="80" t="s">
        <v>915</v>
      </c>
      <c r="AE254" s="80" t="s">
        <v>916</v>
      </c>
      <c r="AF254" s="80" t="s">
        <v>917</v>
      </c>
      <c r="AG254" s="82" t="s">
        <v>918</v>
      </c>
      <c r="AH254" s="80" t="s">
        <v>919</v>
      </c>
    </row>
    <row r="255" customFormat="false" ht="12.75" hidden="false" customHeight="false" outlineLevel="0" collapsed="false">
      <c r="AC255" s="77" t="s">
        <v>920</v>
      </c>
      <c r="AD255" s="80" t="s">
        <v>921</v>
      </c>
      <c r="AE255" s="80" t="s">
        <v>922</v>
      </c>
      <c r="AF255" s="80" t="s">
        <v>923</v>
      </c>
      <c r="AG255" s="82" t="s">
        <v>924</v>
      </c>
      <c r="AH255" s="80" t="s">
        <v>925</v>
      </c>
    </row>
    <row r="256" customFormat="false" ht="12.75" hidden="false" customHeight="false" outlineLevel="0" collapsed="false">
      <c r="AC256" s="77" t="s">
        <v>926</v>
      </c>
      <c r="AD256" s="80" t="s">
        <v>927</v>
      </c>
      <c r="AE256" s="80" t="s">
        <v>928</v>
      </c>
      <c r="AF256" s="80" t="s">
        <v>929</v>
      </c>
      <c r="AG256" s="82" t="s">
        <v>930</v>
      </c>
      <c r="AH256" s="80" t="s">
        <v>931</v>
      </c>
    </row>
    <row r="257" customFormat="false" ht="12.75" hidden="false" customHeight="false" outlineLevel="0" collapsed="false">
      <c r="AC257" s="77" t="s">
        <v>932</v>
      </c>
      <c r="AD257" s="80" t="s">
        <v>933</v>
      </c>
      <c r="AE257" s="80" t="s">
        <v>934</v>
      </c>
      <c r="AF257" s="80" t="s">
        <v>935</v>
      </c>
      <c r="AG257" s="82" t="s">
        <v>936</v>
      </c>
      <c r="AH257" s="80" t="s">
        <v>937</v>
      </c>
    </row>
    <row r="258" customFormat="false" ht="12.75" hidden="false" customHeight="false" outlineLevel="0" collapsed="false">
      <c r="AC258" s="77" t="s">
        <v>938</v>
      </c>
      <c r="AD258" s="80" t="s">
        <v>939</v>
      </c>
      <c r="AE258" s="80" t="s">
        <v>940</v>
      </c>
      <c r="AF258" s="80" t="s">
        <v>941</v>
      </c>
      <c r="AG258" s="82" t="s">
        <v>942</v>
      </c>
      <c r="AH258" s="80" t="s">
        <v>943</v>
      </c>
    </row>
    <row r="259" customFormat="false" ht="12.75" hidden="false" customHeight="false" outlineLevel="0" collapsed="false">
      <c r="AC259" s="77" t="s">
        <v>944</v>
      </c>
      <c r="AD259" s="80" t="s">
        <v>945</v>
      </c>
      <c r="AE259" s="80" t="s">
        <v>946</v>
      </c>
      <c r="AF259" s="80" t="s">
        <v>947</v>
      </c>
      <c r="AG259" s="82" t="s">
        <v>930</v>
      </c>
      <c r="AH259" s="80" t="s">
        <v>948</v>
      </c>
    </row>
    <row r="260" customFormat="false" ht="12.75" hidden="false" customHeight="false" outlineLevel="0" collapsed="false">
      <c r="AC260" s="77" t="s">
        <v>949</v>
      </c>
      <c r="AD260" s="80" t="s">
        <v>950</v>
      </c>
      <c r="AE260" s="80" t="s">
        <v>951</v>
      </c>
      <c r="AF260" s="80" t="s">
        <v>952</v>
      </c>
      <c r="AG260" s="82" t="s">
        <v>953</v>
      </c>
      <c r="AH260" s="80" t="s">
        <v>954</v>
      </c>
    </row>
    <row r="261" customFormat="false" ht="12.75" hidden="false" customHeight="false" outlineLevel="0" collapsed="false">
      <c r="AC261" s="77" t="s">
        <v>955</v>
      </c>
      <c r="AD261" s="80" t="s">
        <v>956</v>
      </c>
      <c r="AE261" s="80" t="s">
        <v>957</v>
      </c>
      <c r="AF261" s="80" t="s">
        <v>956</v>
      </c>
      <c r="AG261" s="82" t="s">
        <v>958</v>
      </c>
      <c r="AH261" s="80" t="s">
        <v>959</v>
      </c>
    </row>
    <row r="262" customFormat="false" ht="12.75" hidden="false" customHeight="false" outlineLevel="0" collapsed="false">
      <c r="AC262" s="77" t="s">
        <v>960</v>
      </c>
      <c r="AD262" s="80" t="s">
        <v>961</v>
      </c>
      <c r="AE262" s="80" t="s">
        <v>962</v>
      </c>
      <c r="AF262" s="80" t="s">
        <v>963</v>
      </c>
      <c r="AG262" s="82" t="s">
        <v>964</v>
      </c>
      <c r="AH262" s="80" t="s">
        <v>965</v>
      </c>
    </row>
    <row r="263" customFormat="false" ht="12.75" hidden="false" customHeight="false" outlineLevel="0" collapsed="false">
      <c r="AC263" s="77" t="s">
        <v>966</v>
      </c>
      <c r="AD263" s="80" t="s">
        <v>967</v>
      </c>
      <c r="AE263" s="80" t="s">
        <v>968</v>
      </c>
      <c r="AF263" s="80" t="s">
        <v>969</v>
      </c>
      <c r="AG263" s="82" t="s">
        <v>970</v>
      </c>
      <c r="AH263" s="80" t="s">
        <v>971</v>
      </c>
    </row>
    <row r="264" customFormat="false" ht="12.75" hidden="false" customHeight="false" outlineLevel="0" collapsed="false">
      <c r="AC264" s="77" t="s">
        <v>972</v>
      </c>
      <c r="AD264" s="80" t="s">
        <v>973</v>
      </c>
      <c r="AE264" s="80" t="s">
        <v>974</v>
      </c>
      <c r="AF264" s="80" t="s">
        <v>972</v>
      </c>
      <c r="AG264" s="82" t="s">
        <v>975</v>
      </c>
      <c r="AH264" s="80" t="s">
        <v>976</v>
      </c>
    </row>
    <row r="265" customFormat="false" ht="12.75" hidden="false" customHeight="false" outlineLevel="0" collapsed="false">
      <c r="AC265" s="77" t="s">
        <v>977</v>
      </c>
      <c r="AD265" s="80" t="s">
        <v>978</v>
      </c>
      <c r="AE265" s="80" t="s">
        <v>979</v>
      </c>
      <c r="AF265" s="80" t="s">
        <v>980</v>
      </c>
      <c r="AG265" s="82" t="s">
        <v>981</v>
      </c>
      <c r="AH265" s="80" t="s">
        <v>982</v>
      </c>
    </row>
    <row r="266" customFormat="false" ht="12.75" hidden="false" customHeight="false" outlineLevel="0" collapsed="false">
      <c r="AC266" s="77" t="s">
        <v>983</v>
      </c>
      <c r="AD266" s="80" t="s">
        <v>984</v>
      </c>
      <c r="AE266" s="80" t="s">
        <v>985</v>
      </c>
      <c r="AF266" s="80" t="s">
        <v>986</v>
      </c>
      <c r="AG266" s="82" t="s">
        <v>987</v>
      </c>
      <c r="AH266" s="80" t="s">
        <v>988</v>
      </c>
    </row>
    <row r="267" customFormat="false" ht="12.75" hidden="false" customHeight="false" outlineLevel="0" collapsed="false">
      <c r="AC267" s="77" t="s">
        <v>989</v>
      </c>
      <c r="AD267" s="80" t="s">
        <v>990</v>
      </c>
      <c r="AE267" s="80" t="s">
        <v>991</v>
      </c>
      <c r="AF267" s="80" t="s">
        <v>992</v>
      </c>
      <c r="AG267" s="82" t="s">
        <v>993</v>
      </c>
      <c r="AH267" s="80" t="s">
        <v>994</v>
      </c>
    </row>
    <row r="268" customFormat="false" ht="12.75" hidden="false" customHeight="false" outlineLevel="0" collapsed="false">
      <c r="AC268" s="77" t="s">
        <v>995</v>
      </c>
      <c r="AD268" s="80" t="s">
        <v>996</v>
      </c>
      <c r="AE268" s="80" t="s">
        <v>997</v>
      </c>
      <c r="AF268" s="80" t="s">
        <v>998</v>
      </c>
      <c r="AG268" s="80" t="s">
        <v>999</v>
      </c>
      <c r="AH268" s="80" t="s">
        <v>1000</v>
      </c>
    </row>
    <row r="269" customFormat="false" ht="12.75" hidden="false" customHeight="false" outlineLevel="0" collapsed="false">
      <c r="AC269" s="77" t="s">
        <v>1001</v>
      </c>
      <c r="AD269" s="80" t="s">
        <v>1002</v>
      </c>
      <c r="AE269" s="80" t="s">
        <v>1003</v>
      </c>
      <c r="AF269" s="80" t="s">
        <v>1004</v>
      </c>
      <c r="AG269" s="80" t="s">
        <v>1005</v>
      </c>
      <c r="AH269" s="80" t="s">
        <v>1006</v>
      </c>
    </row>
    <row r="270" customFormat="false" ht="12.75" hidden="false" customHeight="false" outlineLevel="0" collapsed="false">
      <c r="AC270" s="77" t="s">
        <v>1007</v>
      </c>
      <c r="AD270" s="80" t="s">
        <v>1008</v>
      </c>
      <c r="AE270" s="80" t="s">
        <v>1009</v>
      </c>
      <c r="AF270" s="80" t="s">
        <v>1010</v>
      </c>
      <c r="AG270" s="82" t="s">
        <v>1011</v>
      </c>
      <c r="AH270" s="80" t="s">
        <v>1012</v>
      </c>
    </row>
    <row r="271" customFormat="false" ht="12.75" hidden="false" customHeight="false" outlineLevel="0" collapsed="false">
      <c r="AC271" s="77" t="s">
        <v>56</v>
      </c>
      <c r="AD271" s="80" t="s">
        <v>1013</v>
      </c>
      <c r="AE271" s="80" t="s">
        <v>1014</v>
      </c>
      <c r="AF271" s="80" t="s">
        <v>57</v>
      </c>
      <c r="AG271" s="82" t="s">
        <v>58</v>
      </c>
      <c r="AH271" s="80" t="s">
        <v>59</v>
      </c>
    </row>
    <row r="272" customFormat="false" ht="12.75" hidden="false" customHeight="false" outlineLevel="0" collapsed="false">
      <c r="AC272" s="77" t="s">
        <v>1015</v>
      </c>
      <c r="AD272" s="80" t="s">
        <v>1016</v>
      </c>
      <c r="AE272" s="80" t="s">
        <v>1017</v>
      </c>
      <c r="AF272" s="80" t="s">
        <v>1018</v>
      </c>
      <c r="AG272" s="82" t="s">
        <v>1019</v>
      </c>
      <c r="AH272" s="80" t="s">
        <v>1020</v>
      </c>
    </row>
    <row r="273" customFormat="false" ht="12.75" hidden="false" customHeight="false" outlineLevel="0" collapsed="false">
      <c r="AC273" s="77" t="s">
        <v>1021</v>
      </c>
      <c r="AD273" s="80" t="s">
        <v>1022</v>
      </c>
      <c r="AE273" s="80" t="s">
        <v>1023</v>
      </c>
      <c r="AF273" s="80" t="s">
        <v>1024</v>
      </c>
      <c r="AG273" s="82" t="s">
        <v>1025</v>
      </c>
      <c r="AH273" s="80" t="s">
        <v>1026</v>
      </c>
    </row>
    <row r="274" customFormat="false" ht="12.75" hidden="false" customHeight="false" outlineLevel="0" collapsed="false">
      <c r="AC274" s="77" t="s">
        <v>1027</v>
      </c>
      <c r="AD274" s="80" t="s">
        <v>1028</v>
      </c>
      <c r="AE274" s="80" t="s">
        <v>1029</v>
      </c>
      <c r="AF274" s="80" t="s">
        <v>1030</v>
      </c>
      <c r="AG274" s="82" t="s">
        <v>1031</v>
      </c>
      <c r="AH274" s="80" t="s">
        <v>1032</v>
      </c>
    </row>
    <row r="275" customFormat="false" ht="12.75" hidden="false" customHeight="false" outlineLevel="0" collapsed="false">
      <c r="AC275" s="77" t="s">
        <v>1033</v>
      </c>
      <c r="AD275" s="80" t="s">
        <v>1034</v>
      </c>
      <c r="AE275" s="80" t="s">
        <v>1035</v>
      </c>
      <c r="AF275" s="80" t="s">
        <v>1036</v>
      </c>
      <c r="AG275" s="82" t="s">
        <v>1037</v>
      </c>
      <c r="AH275" s="80" t="s">
        <v>1038</v>
      </c>
    </row>
    <row r="276" customFormat="false" ht="12.75" hidden="false" customHeight="false" outlineLevel="0" collapsed="false">
      <c r="AC276" s="77" t="s">
        <v>1039</v>
      </c>
      <c r="AD276" s="80" t="s">
        <v>1040</v>
      </c>
      <c r="AE276" s="80" t="s">
        <v>1041</v>
      </c>
      <c r="AF276" s="80" t="s">
        <v>1042</v>
      </c>
      <c r="AG276" s="82" t="s">
        <v>1043</v>
      </c>
      <c r="AH276" s="80" t="s">
        <v>1044</v>
      </c>
    </row>
    <row r="277" customFormat="false" ht="12.75" hidden="false" customHeight="false" outlineLevel="0" collapsed="false">
      <c r="AC277" s="78"/>
      <c r="AD277" s="80"/>
      <c r="AE277" s="80"/>
      <c r="AF277" s="80"/>
      <c r="AG277" s="80"/>
      <c r="AH277" s="80"/>
    </row>
    <row r="278" customFormat="false" ht="12.75" hidden="false" customHeight="false" outlineLevel="0" collapsed="false">
      <c r="AC278" s="78"/>
      <c r="AD278" s="80"/>
      <c r="AE278" s="80"/>
      <c r="AF278" s="80"/>
      <c r="AG278" s="80"/>
      <c r="AH278" s="80"/>
    </row>
    <row r="279" customFormat="false" ht="12.75" hidden="false" customHeight="false" outlineLevel="0" collapsed="false">
      <c r="AC279" s="78"/>
      <c r="AD279" s="80"/>
      <c r="AE279" s="80"/>
      <c r="AF279" s="80"/>
      <c r="AG279" s="80"/>
      <c r="AH279" s="80"/>
    </row>
    <row r="280" customFormat="false" ht="12.75" hidden="false" customHeight="false" outlineLevel="0" collapsed="false">
      <c r="AC280" s="78"/>
      <c r="AD280" s="80"/>
      <c r="AE280" s="80"/>
      <c r="AF280" s="80"/>
      <c r="AG280" s="80"/>
      <c r="AH280" s="80"/>
    </row>
    <row r="281" customFormat="false" ht="12.75" hidden="false" customHeight="false" outlineLevel="0" collapsed="false">
      <c r="AC281" s="78"/>
      <c r="AD281" s="80"/>
      <c r="AE281" s="80"/>
      <c r="AF281" s="80"/>
      <c r="AG281" s="80"/>
      <c r="AH281" s="80"/>
    </row>
    <row r="282" customFormat="false" ht="12.75" hidden="false" customHeight="false" outlineLevel="0" collapsed="false">
      <c r="AC282" s="78"/>
      <c r="AD282" s="80"/>
      <c r="AE282" s="80"/>
      <c r="AF282" s="80"/>
      <c r="AG282" s="80"/>
      <c r="AH282" s="80"/>
    </row>
    <row r="283" customFormat="false" ht="12.75" hidden="false" customHeight="false" outlineLevel="0" collapsed="false">
      <c r="AC283" s="78"/>
      <c r="AD283" s="80"/>
      <c r="AE283" s="80"/>
      <c r="AF283" s="80"/>
      <c r="AG283" s="80"/>
      <c r="AH283" s="80"/>
    </row>
    <row r="284" customFormat="false" ht="12.75" hidden="false" customHeight="false" outlineLevel="0" collapsed="false">
      <c r="AC284" s="78"/>
      <c r="AD284" s="80"/>
      <c r="AE284" s="80"/>
      <c r="AF284" s="80"/>
      <c r="AG284" s="80"/>
      <c r="AH284" s="80"/>
    </row>
    <row r="285" customFormat="false" ht="12.75" hidden="false" customHeight="false" outlineLevel="0" collapsed="false">
      <c r="AC285" s="78"/>
      <c r="AD285" s="80"/>
      <c r="AE285" s="80"/>
      <c r="AF285" s="80"/>
      <c r="AG285" s="80"/>
      <c r="AH285" s="80"/>
    </row>
    <row r="286" customFormat="false" ht="12.75" hidden="false" customHeight="false" outlineLevel="0" collapsed="false">
      <c r="AC286" s="78"/>
      <c r="AD286" s="80"/>
      <c r="AE286" s="80"/>
      <c r="AF286" s="80"/>
      <c r="AG286" s="80"/>
      <c r="AH286" s="80"/>
    </row>
    <row r="287" customFormat="false" ht="12.75" hidden="false" customHeight="false" outlineLevel="0" collapsed="false">
      <c r="AC287" s="78"/>
      <c r="AD287" s="80"/>
      <c r="AE287" s="80"/>
      <c r="AF287" s="80"/>
      <c r="AG287" s="80"/>
      <c r="AH287" s="80"/>
    </row>
    <row r="288" customFormat="false" ht="12.75" hidden="false" customHeight="false" outlineLevel="0" collapsed="false">
      <c r="AC288" s="78"/>
      <c r="AD288" s="80"/>
      <c r="AE288" s="80"/>
      <c r="AF288" s="80"/>
      <c r="AG288" s="80"/>
      <c r="AH288" s="80"/>
    </row>
    <row r="289" customFormat="false" ht="12.75" hidden="false" customHeight="false" outlineLevel="0" collapsed="false">
      <c r="AC289" s="78"/>
      <c r="AD289" s="80"/>
      <c r="AE289" s="80"/>
      <c r="AF289" s="80"/>
      <c r="AG289" s="80"/>
      <c r="AH289" s="80"/>
    </row>
    <row r="290" customFormat="false" ht="12.75" hidden="false" customHeight="false" outlineLevel="0" collapsed="false">
      <c r="AC290" s="78"/>
      <c r="AD290" s="80"/>
      <c r="AE290" s="80"/>
      <c r="AF290" s="80"/>
      <c r="AG290" s="80"/>
      <c r="AH290" s="80"/>
    </row>
    <row r="291" customFormat="false" ht="12.75" hidden="false" customHeight="false" outlineLevel="0" collapsed="false">
      <c r="AC291" s="78"/>
      <c r="AD291" s="80"/>
      <c r="AE291" s="80"/>
      <c r="AF291" s="80"/>
      <c r="AG291" s="80"/>
      <c r="AH291" s="80"/>
    </row>
    <row r="292" customFormat="false" ht="12.75" hidden="false" customHeight="false" outlineLevel="0" collapsed="false">
      <c r="AC292" s="78"/>
      <c r="AD292" s="80"/>
      <c r="AE292" s="80"/>
      <c r="AF292" s="80"/>
      <c r="AG292" s="80"/>
      <c r="AH292" s="80"/>
    </row>
    <row r="293" customFormat="false" ht="12.75" hidden="false" customHeight="false" outlineLevel="0" collapsed="false">
      <c r="AC293" s="78"/>
      <c r="AD293" s="80"/>
      <c r="AE293" s="80"/>
      <c r="AF293" s="80"/>
      <c r="AG293" s="80"/>
      <c r="AH293" s="80"/>
    </row>
    <row r="294" customFormat="false" ht="12.75" hidden="false" customHeight="false" outlineLevel="0" collapsed="false">
      <c r="AC294" s="78"/>
      <c r="AD294" s="80"/>
      <c r="AE294" s="80"/>
      <c r="AF294" s="80"/>
      <c r="AG294" s="80"/>
      <c r="AH294" s="80"/>
    </row>
    <row r="295" customFormat="false" ht="12.75" hidden="false" customHeight="false" outlineLevel="0" collapsed="false">
      <c r="AC295" s="78"/>
      <c r="AD295" s="80"/>
      <c r="AE295" s="80"/>
      <c r="AF295" s="80"/>
      <c r="AG295" s="80"/>
      <c r="AH295" s="80"/>
    </row>
    <row r="298" customFormat="false" ht="12.75" hidden="false" customHeight="false" outlineLevel="0" collapsed="false">
      <c r="AJ298" s="86" t="s">
        <v>1045</v>
      </c>
    </row>
    <row r="299" customFormat="false" ht="12.75" hidden="false" customHeight="false" outlineLevel="0" collapsed="false">
      <c r="AJ299" s="87" t="s">
        <v>1046</v>
      </c>
    </row>
    <row r="300" customFormat="false" ht="12.75" hidden="false" customHeight="false" outlineLevel="0" collapsed="false">
      <c r="AJ300" s="88" t="s">
        <v>1047</v>
      </c>
    </row>
    <row r="301" customFormat="false" ht="12.75" hidden="false" customHeight="false" outlineLevel="0" collapsed="false">
      <c r="AJ301" s="89" t="s">
        <v>1048</v>
      </c>
    </row>
    <row r="302" customFormat="false" ht="12.75" hidden="false" customHeight="false" outlineLevel="0" collapsed="false">
      <c r="AJ302" s="90" t="s">
        <v>1049</v>
      </c>
    </row>
    <row r="303" customFormat="false" ht="12.75" hidden="false" customHeight="false" outlineLevel="0" collapsed="false">
      <c r="AJ303" s="91" t="s">
        <v>1050</v>
      </c>
    </row>
    <row r="304" customFormat="false" ht="12.75" hidden="false" customHeight="false" outlineLevel="0" collapsed="false">
      <c r="AJ304" s="92" t="s">
        <v>1051</v>
      </c>
    </row>
    <row r="305" customFormat="false" ht="12.75" hidden="false" customHeight="false" outlineLevel="0" collapsed="false">
      <c r="AH305" s="5" t="s">
        <v>1052</v>
      </c>
      <c r="AI305" s="93" t="s">
        <v>1053</v>
      </c>
      <c r="AJ305" s="94" t="s">
        <v>1054</v>
      </c>
    </row>
    <row r="306" customFormat="false" ht="12.75" hidden="false" customHeight="false" outlineLevel="0" collapsed="false">
      <c r="AH306" s="95"/>
      <c r="AI306" s="96"/>
    </row>
    <row r="307" customFormat="false" ht="12.75" hidden="false" customHeight="false" outlineLevel="0" collapsed="false">
      <c r="AH307" s="97" t="s">
        <v>1055</v>
      </c>
      <c r="AI307" s="98" t="s">
        <v>1056</v>
      </c>
      <c r="AJ307" s="33"/>
    </row>
    <row r="308" customFormat="false" ht="12.75" hidden="false" customHeight="false" outlineLevel="0" collapsed="false">
      <c r="AH308" s="97" t="s">
        <v>1057</v>
      </c>
      <c r="AI308" s="98" t="s">
        <v>1056</v>
      </c>
      <c r="AJ308" s="33"/>
    </row>
    <row r="309" customFormat="false" ht="12.75" hidden="false" customHeight="false" outlineLevel="0" collapsed="false">
      <c r="AH309" s="97" t="s">
        <v>1058</v>
      </c>
      <c r="AI309" s="98" t="s">
        <v>1059</v>
      </c>
      <c r="AJ309" s="33"/>
    </row>
    <row r="310" customFormat="false" ht="12.75" hidden="false" customHeight="false" outlineLevel="0" collapsed="false">
      <c r="AH310" s="99" t="s">
        <v>1060</v>
      </c>
      <c r="AI310" s="100" t="s">
        <v>1061</v>
      </c>
      <c r="AJ310" s="33"/>
    </row>
    <row r="311" customFormat="false" ht="12.75" hidden="false" customHeight="false" outlineLevel="0" collapsed="false">
      <c r="AH311" s="99" t="s">
        <v>1062</v>
      </c>
      <c r="AI311" s="100" t="s">
        <v>1063</v>
      </c>
      <c r="AJ311" s="33"/>
    </row>
    <row r="312" customFormat="false" ht="12.75" hidden="false" customHeight="false" outlineLevel="0" collapsed="false">
      <c r="AH312" s="97" t="s">
        <v>1064</v>
      </c>
      <c r="AI312" s="98" t="s">
        <v>1065</v>
      </c>
      <c r="AJ312" s="33"/>
    </row>
    <row r="313" customFormat="false" ht="12.75" hidden="false" customHeight="false" outlineLevel="0" collapsed="false">
      <c r="AH313" s="101" t="s">
        <v>1066</v>
      </c>
      <c r="AI313" s="102" t="s">
        <v>1067</v>
      </c>
      <c r="AJ313" s="33"/>
    </row>
    <row r="314" customFormat="false" ht="12.75" hidden="false" customHeight="false" outlineLevel="0" collapsed="false">
      <c r="AH314" s="97" t="s">
        <v>1068</v>
      </c>
      <c r="AI314" s="98" t="s">
        <v>1069</v>
      </c>
      <c r="AJ314" s="33"/>
    </row>
    <row r="315" customFormat="false" ht="12.75" hidden="false" customHeight="false" outlineLevel="0" collapsed="false">
      <c r="AH315" s="97" t="s">
        <v>1070</v>
      </c>
      <c r="AI315" s="98" t="s">
        <v>1071</v>
      </c>
      <c r="AJ315" s="33"/>
    </row>
    <row r="316" customFormat="false" ht="12.75" hidden="false" customHeight="false" outlineLevel="0" collapsed="false">
      <c r="AH316" s="97" t="s">
        <v>1072</v>
      </c>
      <c r="AI316" s="98" t="s">
        <v>1071</v>
      </c>
      <c r="AJ316" s="33"/>
    </row>
    <row r="317" customFormat="false" ht="12.75" hidden="false" customHeight="false" outlineLevel="0" collapsed="false">
      <c r="AH317" s="97" t="s">
        <v>1073</v>
      </c>
      <c r="AI317" s="98" t="s">
        <v>1071</v>
      </c>
      <c r="AJ317" s="33"/>
    </row>
    <row r="318" customFormat="false" ht="12.75" hidden="false" customHeight="false" outlineLevel="0" collapsed="false">
      <c r="AH318" s="101" t="s">
        <v>1074</v>
      </c>
      <c r="AI318" s="102" t="s">
        <v>1075</v>
      </c>
      <c r="AJ318" s="33"/>
    </row>
    <row r="319" customFormat="false" ht="12.75" hidden="false" customHeight="false" outlineLevel="0" collapsed="false">
      <c r="AH319" s="95" t="s">
        <v>1076</v>
      </c>
      <c r="AI319" s="96" t="s">
        <v>1077</v>
      </c>
      <c r="AJ319" s="33"/>
    </row>
    <row r="320" customFormat="false" ht="12.75" hidden="false" customHeight="false" outlineLevel="0" collapsed="false">
      <c r="AH320" s="97" t="s">
        <v>1078</v>
      </c>
      <c r="AI320" s="98" t="s">
        <v>1078</v>
      </c>
      <c r="AJ320" s="33"/>
    </row>
    <row r="321" customFormat="false" ht="12.75" hidden="false" customHeight="false" outlineLevel="0" collapsed="false">
      <c r="AH321" s="97" t="s">
        <v>1079</v>
      </c>
      <c r="AI321" s="98" t="s">
        <v>1080</v>
      </c>
      <c r="AJ321" s="33"/>
    </row>
    <row r="322" customFormat="false" ht="12.75" hidden="false" customHeight="false" outlineLevel="0" collapsed="false">
      <c r="AH322" s="99" t="s">
        <v>1081</v>
      </c>
      <c r="AI322" s="100" t="s">
        <v>1081</v>
      </c>
      <c r="AJ322" s="33"/>
    </row>
    <row r="323" customFormat="false" ht="12.75" hidden="false" customHeight="false" outlineLevel="0" collapsed="false">
      <c r="AH323" s="97" t="s">
        <v>1082</v>
      </c>
      <c r="AI323" s="98" t="s">
        <v>1082</v>
      </c>
      <c r="AJ323" s="33"/>
    </row>
    <row r="324" customFormat="false" ht="12.75" hidden="false" customHeight="false" outlineLevel="0" collapsed="false">
      <c r="AH324" s="97" t="s">
        <v>1083</v>
      </c>
      <c r="AI324" s="98" t="s">
        <v>1084</v>
      </c>
      <c r="AJ324" s="33"/>
    </row>
    <row r="325" customFormat="false" ht="12.75" hidden="false" customHeight="false" outlineLevel="0" collapsed="false">
      <c r="AH325" s="95" t="s">
        <v>1085</v>
      </c>
      <c r="AI325" s="96" t="s">
        <v>1086</v>
      </c>
      <c r="AJ325" s="33"/>
    </row>
    <row r="326" customFormat="false" ht="12.75" hidden="false" customHeight="false" outlineLevel="0" collapsed="false">
      <c r="AH326" s="97" t="s">
        <v>9</v>
      </c>
      <c r="AI326" s="98" t="s">
        <v>9</v>
      </c>
      <c r="AJ326" s="33"/>
    </row>
    <row r="327" customFormat="false" ht="12.75" hidden="false" customHeight="false" outlineLevel="0" collapsed="false">
      <c r="AH327" s="97" t="s">
        <v>1087</v>
      </c>
      <c r="AI327" s="98" t="s">
        <v>1087</v>
      </c>
      <c r="AJ327" s="33"/>
    </row>
    <row r="328" customFormat="false" ht="12.75" hidden="false" customHeight="false" outlineLevel="0" collapsed="false">
      <c r="AH328" s="97" t="s">
        <v>1088</v>
      </c>
      <c r="AI328" s="98" t="s">
        <v>1089</v>
      </c>
      <c r="AJ328" s="33"/>
    </row>
    <row r="329" customFormat="false" ht="12.75" hidden="false" customHeight="false" outlineLevel="0" collapsed="false">
      <c r="AH329" s="95" t="s">
        <v>1090</v>
      </c>
      <c r="AI329" s="96" t="s">
        <v>1091</v>
      </c>
      <c r="AJ329" s="33"/>
    </row>
    <row r="330" customFormat="false" ht="12.75" hidden="false" customHeight="false" outlineLevel="0" collapsed="false">
      <c r="AH330" s="95" t="s">
        <v>1092</v>
      </c>
      <c r="AI330" s="96" t="s">
        <v>1093</v>
      </c>
      <c r="AJ330" s="33"/>
    </row>
    <row r="331" customFormat="false" ht="12.75" hidden="false" customHeight="false" outlineLevel="0" collapsed="false">
      <c r="AH331" s="97" t="s">
        <v>1094</v>
      </c>
      <c r="AI331" s="98" t="s">
        <v>1094</v>
      </c>
      <c r="AJ331" s="33"/>
    </row>
    <row r="332" customFormat="false" ht="12.75" hidden="false" customHeight="false" outlineLevel="0" collapsed="false">
      <c r="AH332" s="97" t="s">
        <v>1095</v>
      </c>
      <c r="AI332" s="98" t="s">
        <v>1096</v>
      </c>
      <c r="AJ332" s="33"/>
    </row>
    <row r="333" customFormat="false" ht="12.75" hidden="false" customHeight="false" outlineLevel="0" collapsed="false">
      <c r="AH333" s="97" t="s">
        <v>1097</v>
      </c>
      <c r="AI333" s="98" t="s">
        <v>1097</v>
      </c>
      <c r="AJ333" s="33"/>
    </row>
    <row r="334" customFormat="false" ht="12.75" hidden="false" customHeight="false" outlineLevel="0" collapsed="false">
      <c r="AH334" s="97" t="s">
        <v>1098</v>
      </c>
      <c r="AI334" s="98" t="s">
        <v>1098</v>
      </c>
      <c r="AJ334" s="33"/>
    </row>
    <row r="335" customFormat="false" ht="12.75" hidden="false" customHeight="false" outlineLevel="0" collapsed="false">
      <c r="AH335" s="95" t="s">
        <v>1099</v>
      </c>
      <c r="AI335" s="96" t="s">
        <v>1100</v>
      </c>
      <c r="AJ335" s="33"/>
    </row>
    <row r="336" customFormat="false" ht="12.75" hidden="false" customHeight="false" outlineLevel="0" collapsed="false">
      <c r="AH336" s="95" t="s">
        <v>1101</v>
      </c>
      <c r="AI336" s="96" t="s">
        <v>1102</v>
      </c>
      <c r="AJ336" s="33"/>
    </row>
    <row r="337" customFormat="false" ht="12.75" hidden="false" customHeight="false" outlineLevel="0" collapsed="false">
      <c r="AH337" s="95" t="s">
        <v>1103</v>
      </c>
      <c r="AI337" s="96" t="s">
        <v>1102</v>
      </c>
    </row>
    <row r="338" customFormat="false" ht="12.75" hidden="false" customHeight="false" outlineLevel="0" collapsed="false">
      <c r="AH338" s="101" t="s">
        <v>1104</v>
      </c>
      <c r="AI338" s="102" t="s">
        <v>1105</v>
      </c>
    </row>
    <row r="339" customFormat="false" ht="12.75" hidden="false" customHeight="false" outlineLevel="0" collapsed="false">
      <c r="AH339" s="103" t="s">
        <v>1106</v>
      </c>
      <c r="AI339" s="104" t="s">
        <v>1107</v>
      </c>
    </row>
    <row r="340" customFormat="false" ht="12.75" hidden="false" customHeight="false" outlineLevel="0" collapsed="false">
      <c r="AH340" s="95" t="s">
        <v>1108</v>
      </c>
      <c r="AI340" s="96" t="s">
        <v>1108</v>
      </c>
    </row>
    <row r="341" customFormat="false" ht="12.75" hidden="false" customHeight="false" outlineLevel="0" collapsed="false">
      <c r="AH341" s="105" t="s">
        <v>1109</v>
      </c>
      <c r="AI341" s="106" t="s">
        <v>1109</v>
      </c>
    </row>
    <row r="342" customFormat="false" ht="12.75" hidden="false" customHeight="false" outlineLevel="0" collapsed="false">
      <c r="AH342" s="95" t="s">
        <v>1110</v>
      </c>
      <c r="AI342" s="96" t="s">
        <v>1102</v>
      </c>
    </row>
    <row r="343" customFormat="false" ht="12.75" hidden="false" customHeight="false" outlineLevel="0" collapsed="false">
      <c r="AH343" s="97" t="s">
        <v>1111</v>
      </c>
      <c r="AI343" s="98" t="s">
        <v>1112</v>
      </c>
    </row>
    <row r="344" customFormat="false" ht="12.75" hidden="false" customHeight="false" outlineLevel="0" collapsed="false">
      <c r="AH344" s="107" t="s">
        <v>1113</v>
      </c>
      <c r="AI344" s="108" t="s">
        <v>1114</v>
      </c>
    </row>
    <row r="345" customFormat="false" ht="12.75" hidden="false" customHeight="false" outlineLevel="0" collapsed="false">
      <c r="AH345" s="95" t="s">
        <v>1115</v>
      </c>
      <c r="AI345" s="96" t="s">
        <v>1116</v>
      </c>
    </row>
    <row r="346" customFormat="false" ht="12.75" hidden="false" customHeight="false" outlineLevel="0" collapsed="false">
      <c r="AH346" s="95" t="s">
        <v>1117</v>
      </c>
      <c r="AI346" s="96" t="s">
        <v>1116</v>
      </c>
    </row>
    <row r="347" customFormat="false" ht="12.75" hidden="false" customHeight="false" outlineLevel="0" collapsed="false">
      <c r="AH347" s="97" t="s">
        <v>1118</v>
      </c>
      <c r="AI347" s="96" t="s">
        <v>1116</v>
      </c>
    </row>
    <row r="348" customFormat="false" ht="12.75" hidden="false" customHeight="false" outlineLevel="0" collapsed="false">
      <c r="AH348" s="97" t="s">
        <v>1119</v>
      </c>
      <c r="AI348" s="98" t="s">
        <v>1116</v>
      </c>
    </row>
    <row r="349" customFormat="false" ht="12.75" hidden="false" customHeight="false" outlineLevel="0" collapsed="false">
      <c r="AH349" s="95" t="s">
        <v>1120</v>
      </c>
      <c r="AI349" s="96" t="s">
        <v>1116</v>
      </c>
    </row>
    <row r="350" customFormat="false" ht="12.75" hidden="false" customHeight="false" outlineLevel="0" collapsed="false">
      <c r="AH350" s="99" t="s">
        <v>1121</v>
      </c>
      <c r="AI350" s="100" t="s">
        <v>1116</v>
      </c>
    </row>
    <row r="351" customFormat="false" ht="12.75" hidden="false" customHeight="false" outlineLevel="0" collapsed="false">
      <c r="AH351" s="95" t="s">
        <v>1122</v>
      </c>
      <c r="AI351" s="96" t="s">
        <v>1116</v>
      </c>
    </row>
    <row r="352" customFormat="false" ht="12.75" hidden="false" customHeight="false" outlineLevel="0" collapsed="false">
      <c r="AH352" s="95" t="s">
        <v>1123</v>
      </c>
      <c r="AI352" s="96" t="s">
        <v>1123</v>
      </c>
    </row>
    <row r="353" customFormat="false" ht="12.75" hidden="false" customHeight="false" outlineLevel="0" collapsed="false">
      <c r="AH353" s="109" t="s">
        <v>1124</v>
      </c>
      <c r="AI353" s="110" t="s">
        <v>1124</v>
      </c>
    </row>
    <row r="354" customFormat="false" ht="12.75" hidden="false" customHeight="false" outlineLevel="0" collapsed="false">
      <c r="AH354" s="97" t="s">
        <v>1125</v>
      </c>
      <c r="AI354" s="98" t="s">
        <v>1126</v>
      </c>
    </row>
    <row r="355" customFormat="false" ht="12.75" hidden="false" customHeight="false" outlineLevel="0" collapsed="false">
      <c r="AH355" s="89" t="s">
        <v>1127</v>
      </c>
      <c r="AI355" s="111" t="s">
        <v>1128</v>
      </c>
    </row>
    <row r="356" customFormat="false" ht="12.75" hidden="false" customHeight="false" outlineLevel="0" collapsed="false">
      <c r="AH356" s="97" t="s">
        <v>1129</v>
      </c>
      <c r="AI356" s="98" t="s">
        <v>1130</v>
      </c>
    </row>
  </sheetData>
  <sheetProtection sheet="true" password="f068" objects="true" scenarios="true" formatColumns="false"/>
  <mergeCells count="23">
    <mergeCell ref="G2:P2"/>
    <mergeCell ref="B3:D3"/>
    <mergeCell ref="G3:G5"/>
    <mergeCell ref="H3:I3"/>
    <mergeCell ref="J3:J5"/>
    <mergeCell ref="K3:K5"/>
    <mergeCell ref="L3:L5"/>
    <mergeCell ref="M3:N3"/>
    <mergeCell ref="O3:P3"/>
    <mergeCell ref="B4:D4"/>
    <mergeCell ref="H4:H5"/>
    <mergeCell ref="I4:I5"/>
    <mergeCell ref="M4:M5"/>
    <mergeCell ref="N4:N5"/>
    <mergeCell ref="O4:O5"/>
    <mergeCell ref="P4:P5"/>
    <mergeCell ref="B5:D5"/>
    <mergeCell ref="B6:D6"/>
    <mergeCell ref="B7:D7"/>
    <mergeCell ref="B9:D9"/>
    <mergeCell ref="B20:D20"/>
    <mergeCell ref="F23:P25"/>
    <mergeCell ref="F26:N28"/>
  </mergeCells>
  <dataValidations count="5">
    <dataValidation allowBlank="true" errorStyle="stop" operator="between" showDropDown="false" showErrorMessage="true" showInputMessage="true" sqref="D23" type="list">
      <formula1>Language_List</formula1>
      <formula2>0</formula2>
    </dataValidation>
    <dataValidation allowBlank="true" errorStyle="stop" operator="between" showDropDown="false" showErrorMessage="true" showInputMessage="true" sqref="B20" type="list">
      <formula1>TestLabs</formula1>
      <formula2>0</formula2>
    </dataValidation>
    <dataValidation allowBlank="true" errorStyle="stop" operator="between" showDropDown="false" showErrorMessage="true" showInputMessage="true" sqref="D29" type="list">
      <formula1>Particle_Type_List</formula1>
      <formula2>0</formula2>
    </dataValidation>
    <dataValidation allowBlank="true" errorStyle="stop" operator="between" showDropDown="false" showErrorMessage="true" showInputMessage="true" sqref="D26" type="list">
      <formula1>Starting_Material_List</formula1>
      <formula2>0</formula2>
    </dataValidation>
    <dataValidation allowBlank="true" errorStyle="stop" operator="between" showDropDown="false" showErrorMessage="true" showInputMessage="true" sqref="D32" type="list">
      <formula1>CutCoreRanges</formula1>
      <formula2>0</formula2>
    </dataValidation>
  </dataValidations>
  <printOptions headings="false" gridLines="true" gridLinesSet="true" horizontalCentered="false" verticalCentered="false"/>
  <pageMargins left="0.75" right="0.390277777777778" top="0.779861111111111" bottom="1"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M23"/>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E9" activeCellId="1" sqref="A39:A48 E9"/>
    </sheetView>
  </sheetViews>
  <sheetFormatPr defaultColWidth="8.54296875" defaultRowHeight="12.75" zeroHeight="false" outlineLevelRow="0" outlineLevelCol="0"/>
  <cols>
    <col collapsed="false" customWidth="true" hidden="false" outlineLevel="0" max="1" min="1" style="0" width="37.71"/>
    <col collapsed="false" customWidth="true" hidden="false" outlineLevel="0" max="2" min="2" style="0" width="23.57"/>
    <col collapsed="false" customWidth="true" hidden="false" outlineLevel="0" max="3" min="3" style="0" width="31.29"/>
    <col collapsed="false" customWidth="true" hidden="false" outlineLevel="0" max="4" min="4" style="0" width="14.14"/>
    <col collapsed="false" customWidth="true" hidden="false" outlineLevel="0" max="5" min="5" style="0" width="19.71"/>
    <col collapsed="false" customWidth="true" hidden="false" outlineLevel="0" max="6" min="6" style="0" width="15.42"/>
    <col collapsed="false" customWidth="true" hidden="false" outlineLevel="0" max="7" min="7" style="0" width="11.43"/>
    <col collapsed="false" customWidth="true" hidden="false" outlineLevel="0" max="8" min="8" style="0" width="30"/>
  </cols>
  <sheetData>
    <row r="1" customFormat="false" ht="17.35" hidden="false" customHeight="false" outlineLevel="0" collapsed="false">
      <c r="A1" s="112" t="str">
        <f aca="false">VLOOKUP("SMC Test - SG and Core Target Length Calculations",Language_Translation_Table,Language_Code,FALSE())</f>
        <v>Тест SMC - определение плотности и целевой длины керна</v>
      </c>
    </row>
    <row r="2" customFormat="false" ht="13.8" hidden="false" customHeight="false" outlineLevel="0" collapsed="false">
      <c r="A2" s="113" t="str">
        <f aca="false">'Исходные данные'!A5</f>
        <v>Идентификация образца клиента:</v>
      </c>
      <c r="B2" s="114" t="str">
        <f aca="false">T(Sample_ID)</f>
        <v>ЛТП LU23-029 (CU-AU)</v>
      </c>
      <c r="D2" s="113" t="str">
        <f aca="false">'Исходные данные'!A3</f>
        <v>Заказчик:</v>
      </c>
      <c r="E2" s="115" t="str">
        <f aca="false">T(Client)</f>
        <v>HGE</v>
      </c>
      <c r="F2" s="114"/>
      <c r="G2" s="114"/>
      <c r="H2" s="52"/>
    </row>
    <row r="3" customFormat="false" ht="13.8" hidden="false" customHeight="false" outlineLevel="0" collapsed="false">
      <c r="A3" s="113" t="str">
        <f aca="false">'Исходные данные'!A4</f>
        <v>Highland Exploration Имя или номер проекта:</v>
      </c>
      <c r="B3" s="114" t="str">
        <f aca="false">T(Project_ID)</f>
        <v>Лугоканское</v>
      </c>
    </row>
    <row r="4" customFormat="false" ht="12.75" hidden="false" customHeight="true" outlineLevel="0" collapsed="false">
      <c r="A4" s="116" t="str">
        <f aca="false">VLOOKUP("Note:  If you are using Crush &amp; Select method, weigh the pieces of rock or core together in a wire basket, in one or more batches.  In this case, you will not need all 10 lines - just fill in the number required.",Language_Translation_Table,Language_Code,FALSE())</f>
        <v>Примечание: если используется метод отбора кусков, взвесьте куски совместно в проволочной корзине, за один или несколько приемов. В этом случае нет необходимости заполнять все 10 строк - только необходимое количество.</v>
      </c>
      <c r="B4" s="116"/>
      <c r="C4" s="116"/>
      <c r="D4" s="116"/>
      <c r="E4" s="116"/>
      <c r="F4" s="116"/>
      <c r="G4" s="116"/>
      <c r="H4" s="116"/>
      <c r="I4" s="117"/>
      <c r="J4" s="117"/>
    </row>
    <row r="5" customFormat="false" ht="12.75" hidden="false" customHeight="true" outlineLevel="0" collapsed="false">
      <c r="A5" s="116"/>
      <c r="B5" s="116"/>
      <c r="C5" s="116"/>
      <c r="D5" s="116"/>
      <c r="E5" s="116"/>
      <c r="F5" s="116"/>
      <c r="G5" s="116"/>
      <c r="H5" s="116"/>
      <c r="I5" s="117"/>
      <c r="J5" s="117"/>
    </row>
    <row r="6" customFormat="false" ht="12.75" hidden="false" customHeight="true" outlineLevel="0" collapsed="false">
      <c r="D6" s="118" t="n">
        <f aca="false">VLOOKUP(SG_CalcType,SG_Methods_Table,2,FALSE())</f>
        <v>1</v>
      </c>
      <c r="E6" s="118" t="n">
        <v>1</v>
      </c>
    </row>
    <row r="7" customFormat="false" ht="12.75" hidden="false" customHeight="false" outlineLevel="0" collapsed="false">
      <c r="A7" s="119" t="str">
        <f aca="false">VLOOKUP("SG Calculations - Cut Core or Broken Rock Pieces",Language_Translation_Table,Language_Code,FALSE())</f>
        <v>Расчет плотности - четвертинки керна или куски</v>
      </c>
      <c r="B7" s="119"/>
      <c r="C7" s="119"/>
      <c r="D7" s="119"/>
      <c r="E7" s="119" t="str">
        <f aca="false">VLOOKUP("For Cut Core Only",Language_Translation_Table,Language_Code,FALSE())</f>
        <v>Только для способа резки керна</v>
      </c>
      <c r="F7" s="119"/>
      <c r="G7" s="119"/>
      <c r="H7" s="119"/>
    </row>
    <row r="8" customFormat="false" ht="13.8" hidden="false" customHeight="false" outlineLevel="0" collapsed="false">
      <c r="A8" s="93" t="str">
        <f aca="false">IF(Particle_Type_Code = 1, J8,J9)</f>
        <v>Identificación de Partículas del Testigo</v>
      </c>
      <c r="B8" s="31" t="str">
        <f aca="false">VLOOKUP("Wt in Air (g)",Language_Translation_Table,Language_Code,FALSE())</f>
        <v>Масса на воздухе (г)</v>
      </c>
      <c r="C8" s="44" t="s">
        <v>1023</v>
      </c>
      <c r="D8" s="31" t="str">
        <f aca="false">IF(Language="Spanish","GE","SG")</f>
        <v>SG</v>
      </c>
      <c r="E8" s="31" t="str">
        <f aca="false">VLOOKUP("Length (mm)",Language_Translation_Table,Language_Code,FALSE())</f>
        <v>Длина (мм)</v>
      </c>
      <c r="F8" s="31" t="str">
        <f aca="false">VLOOKUP("No. of Pieces",Language_Translation_Table,Language_Code,FALSE())</f>
        <v>кол-во кусков</v>
      </c>
      <c r="G8" s="120" t="s">
        <v>1131</v>
      </c>
      <c r="H8" s="4" t="str">
        <f aca="false">VLOOKUP("Target Length (mm)",Language_Translation_Table,Language_Code,FALSE())</f>
        <v>Целевая длина (мм)</v>
      </c>
      <c r="J8" s="11" t="str">
        <f aca="false">IF(Language = "English",K8,L8)</f>
        <v>Identificación de Partículas del Testigo</v>
      </c>
      <c r="K8" s="11" t="s">
        <v>229</v>
      </c>
      <c r="L8" s="11" t="s">
        <v>230</v>
      </c>
      <c r="M8" s="11"/>
    </row>
    <row r="9" customFormat="false" ht="13.8" hidden="false" customHeight="false" outlineLevel="0" collapsed="false">
      <c r="A9" s="51" t="n">
        <v>1</v>
      </c>
      <c r="B9" s="51" t="n">
        <v>51.9</v>
      </c>
      <c r="C9" s="51" t="n">
        <v>31.1</v>
      </c>
      <c r="D9" s="121" t="n">
        <f aca="false">IF(C9="","", IF(VLOOKUP(SG_CalcType,SG_Methods_Table,2,FALSE())= 3,C9,IF(VLOOKUP(SG_CalcType,SG_Methods_Table,2,FALSE())=2,B9/C9,B9/(B9-C9))))</f>
        <v>2.49519230769231</v>
      </c>
      <c r="E9" s="51"/>
      <c r="F9" s="51"/>
      <c r="G9" s="122" t="str">
        <f aca="false">IF(E9="","",E9*F9/B9)</f>
        <v/>
      </c>
      <c r="H9" s="123" t="str">
        <f aca="false">IF(E9="","",TargetMass*G9)</f>
        <v/>
      </c>
      <c r="J9" s="11" t="str">
        <f aca="false">IF(Language = "English",K9,L9)</f>
        <v>Número de Pesaje</v>
      </c>
      <c r="K9" s="11" t="s">
        <v>185</v>
      </c>
      <c r="L9" s="11" t="s">
        <v>186</v>
      </c>
      <c r="M9" s="11"/>
    </row>
    <row r="10" customFormat="false" ht="13.8" hidden="false" customHeight="false" outlineLevel="0" collapsed="false">
      <c r="A10" s="51" t="n">
        <v>2</v>
      </c>
      <c r="B10" s="51" t="n">
        <v>48.3</v>
      </c>
      <c r="C10" s="51" t="n">
        <v>30.1</v>
      </c>
      <c r="D10" s="121" t="n">
        <f aca="false">IF(C10="","", IF(VLOOKUP(SG_CalcType,SG_Methods_Table,2,FALSE())= 3,C10,IF(VLOOKUP(SG_CalcType,SG_Methods_Table,2,FALSE())=2,B10/C10,B10/(B10-C10))))</f>
        <v>2.65384615384615</v>
      </c>
      <c r="E10" s="51"/>
      <c r="F10" s="51"/>
      <c r="G10" s="122" t="str">
        <f aca="false">IF(E10="","",E10*F10/B10)</f>
        <v/>
      </c>
      <c r="H10" s="123" t="str">
        <f aca="false">IF(E10="","",TargetMass*G10)</f>
        <v/>
      </c>
    </row>
    <row r="11" customFormat="false" ht="13.8" hidden="false" customHeight="false" outlineLevel="0" collapsed="false">
      <c r="A11" s="51" t="n">
        <v>3</v>
      </c>
      <c r="B11" s="51" t="n">
        <v>53.6</v>
      </c>
      <c r="C11" s="51" t="n">
        <v>32.7</v>
      </c>
      <c r="D11" s="121" t="n">
        <f aca="false">IF(C11="","", IF(VLOOKUP(SG_CalcType,SG_Methods_Table,2,FALSE())= 3,C11,IF(VLOOKUP(SG_CalcType,SG_Methods_Table,2,FALSE())=2,B11/C11,B11/(B11-C11))))</f>
        <v>2.56459330143541</v>
      </c>
      <c r="E11" s="51"/>
      <c r="F11" s="51"/>
      <c r="G11" s="122" t="str">
        <f aca="false">IF(E11="","",E11*F11/B11)</f>
        <v/>
      </c>
      <c r="H11" s="123" t="str">
        <f aca="false">IF(E11="","",TargetMass*G11)</f>
        <v/>
      </c>
    </row>
    <row r="12" customFormat="false" ht="13.8" hidden="false" customHeight="false" outlineLevel="0" collapsed="false">
      <c r="A12" s="51" t="n">
        <v>4</v>
      </c>
      <c r="B12" s="51" t="n">
        <v>55.9</v>
      </c>
      <c r="C12" s="51" t="n">
        <v>36.8</v>
      </c>
      <c r="D12" s="121" t="n">
        <f aca="false">IF(C12="","", IF(VLOOKUP(SG_CalcType,SG_Methods_Table,2,FALSE())= 3,C12,IF(VLOOKUP(SG_CalcType,SG_Methods_Table,2,FALSE())=2,B12/C12,B12/(B12-C12))))</f>
        <v>2.92670157068063</v>
      </c>
      <c r="E12" s="51"/>
      <c r="F12" s="51"/>
      <c r="G12" s="122" t="str">
        <f aca="false">IF(E12="","",E12*F12/B12)</f>
        <v/>
      </c>
      <c r="H12" s="123" t="str">
        <f aca="false">IF(E12="","",TargetMass*G12)</f>
        <v/>
      </c>
    </row>
    <row r="13" customFormat="false" ht="13.8" hidden="false" customHeight="false" outlineLevel="0" collapsed="false">
      <c r="A13" s="51" t="n">
        <v>5</v>
      </c>
      <c r="B13" s="51" t="n">
        <v>54.7</v>
      </c>
      <c r="C13" s="51" t="n">
        <v>35.4</v>
      </c>
      <c r="D13" s="121" t="n">
        <f aca="false">IF(C13="","", IF(VLOOKUP(SG_CalcType,SG_Methods_Table,2,FALSE())= 3,C13,IF(VLOOKUP(SG_CalcType,SG_Methods_Table,2,FALSE())=2,B13/C13,B13/(B13-C13))))</f>
        <v>2.83419689119171</v>
      </c>
      <c r="E13" s="51"/>
      <c r="F13" s="51"/>
      <c r="G13" s="122" t="str">
        <f aca="false">IF(E13="","",E13*F13/B13)</f>
        <v/>
      </c>
      <c r="H13" s="123" t="str">
        <f aca="false">IF(E13="","",TargetMass*G13)</f>
        <v/>
      </c>
    </row>
    <row r="14" customFormat="false" ht="13.8" hidden="false" customHeight="false" outlineLevel="0" collapsed="false">
      <c r="A14" s="51" t="n">
        <v>6</v>
      </c>
      <c r="B14" s="51" t="n">
        <v>53.8</v>
      </c>
      <c r="C14" s="51" t="n">
        <v>37.1</v>
      </c>
      <c r="D14" s="121" t="n">
        <f aca="false">IF(C14="","", IF(VLOOKUP(SG_CalcType,SG_Methods_Table,2,FALSE())= 3,C14,IF(VLOOKUP(SG_CalcType,SG_Methods_Table,2,FALSE())=2,B14/C14,B14/(B14-C14))))</f>
        <v>3.22155688622755</v>
      </c>
      <c r="E14" s="51"/>
      <c r="F14" s="51"/>
      <c r="G14" s="122" t="str">
        <f aca="false">IF(E14="","",E14*F14/B14)</f>
        <v/>
      </c>
      <c r="H14" s="123" t="str">
        <f aca="false">IF(E14="","",TargetMass*G14)</f>
        <v/>
      </c>
    </row>
    <row r="15" customFormat="false" ht="13.8" hidden="false" customHeight="false" outlineLevel="0" collapsed="false">
      <c r="A15" s="51" t="n">
        <v>7</v>
      </c>
      <c r="B15" s="51" t="n">
        <v>50.1</v>
      </c>
      <c r="C15" s="51" t="n">
        <v>31.6</v>
      </c>
      <c r="D15" s="121" t="n">
        <f aca="false">IF(C15="","", IF(VLOOKUP(SG_CalcType,SG_Methods_Table,2,FALSE())= 3,C15,IF(VLOOKUP(SG_CalcType,SG_Methods_Table,2,FALSE())=2,B15/C15,B15/(B15-C15))))</f>
        <v>2.70810810810811</v>
      </c>
      <c r="E15" s="51"/>
      <c r="F15" s="51"/>
      <c r="G15" s="122" t="str">
        <f aca="false">IF(E15="","",E15*F15/B15)</f>
        <v/>
      </c>
      <c r="H15" s="123" t="str">
        <f aca="false">IF(E15="","",TargetMass*G15)</f>
        <v/>
      </c>
    </row>
    <row r="16" customFormat="false" ht="13.8" hidden="false" customHeight="false" outlineLevel="0" collapsed="false">
      <c r="A16" s="51" t="n">
        <v>8</v>
      </c>
      <c r="B16" s="51" t="n">
        <v>72.5</v>
      </c>
      <c r="C16" s="51" t="n">
        <v>50.6</v>
      </c>
      <c r="D16" s="121" t="n">
        <f aca="false">IF(C16="","", IF(VLOOKUP(SG_CalcType,SG_Methods_Table,2,FALSE())= 3,C16,IF(VLOOKUP(SG_CalcType,SG_Methods_Table,2,FALSE())=2,B16/C16,B16/(B16-C16))))</f>
        <v>3.31050228310502</v>
      </c>
      <c r="E16" s="51"/>
      <c r="F16" s="51"/>
      <c r="G16" s="122" t="str">
        <f aca="false">IF(E16="","",E16*F16/B16)</f>
        <v/>
      </c>
      <c r="H16" s="123" t="str">
        <f aca="false">IF(E16="","",TargetMass*G16)</f>
        <v/>
      </c>
    </row>
    <row r="17" customFormat="false" ht="13.8" hidden="false" customHeight="false" outlineLevel="0" collapsed="false">
      <c r="A17" s="51" t="n">
        <v>9</v>
      </c>
      <c r="B17" s="51" t="n">
        <v>52.5</v>
      </c>
      <c r="C17" s="51" t="n">
        <v>34.7</v>
      </c>
      <c r="D17" s="121" t="n">
        <f aca="false">IF(C17="","", IF(VLOOKUP(SG_CalcType,SG_Methods_Table,2,FALSE())= 3,C17,IF(VLOOKUP(SG_CalcType,SG_Methods_Table,2,FALSE())=2,B17/C17,B17/(B17-C17))))</f>
        <v>2.94943820224719</v>
      </c>
      <c r="E17" s="51"/>
      <c r="F17" s="51"/>
      <c r="G17" s="122" t="str">
        <f aca="false">IF(E17="","",E17*F17/B17)</f>
        <v/>
      </c>
      <c r="H17" s="123" t="str">
        <f aca="false">IF(E17="","",TargetMass*G17)</f>
        <v/>
      </c>
    </row>
    <row r="18" customFormat="false" ht="13.8" hidden="false" customHeight="false" outlineLevel="0" collapsed="false">
      <c r="A18" s="51" t="n">
        <v>10</v>
      </c>
      <c r="B18" s="51" t="n">
        <v>45.4</v>
      </c>
      <c r="C18" s="51" t="n">
        <v>27.9</v>
      </c>
      <c r="D18" s="121" t="n">
        <f aca="false">IF(C18="","", IF(VLOOKUP(SG_CalcType,SG_Methods_Table,2,FALSE())= 3,C18,IF(VLOOKUP(SG_CalcType,SG_Methods_Table,2,FALSE())=2,B18/C18,B18/(B18-C18))))</f>
        <v>2.59428571428571</v>
      </c>
      <c r="E18" s="51"/>
      <c r="F18" s="51"/>
      <c r="G18" s="122" t="str">
        <f aca="false">IF(E18="","",E18*F18/B18)</f>
        <v/>
      </c>
      <c r="H18" s="124" t="str">
        <f aca="false">IF(E18="","",TargetMass*G18)</f>
        <v/>
      </c>
    </row>
    <row r="19" customFormat="false" ht="12.75" hidden="false" customHeight="false" outlineLevel="0" collapsed="false">
      <c r="C19" s="31" t="str">
        <f aca="false">VLOOKUP("Mean",Language_Translation_Table,Language_Code,FALSE())&amp;":"</f>
        <v>Среднее:</v>
      </c>
      <c r="D19" s="125" t="n">
        <f aca="false">IF(ISERROR(AVERAGE(D9:D18)),0,AVERAGE(D9:D18))</f>
        <v>2.82584214188198</v>
      </c>
      <c r="E19" s="121"/>
      <c r="F19" s="126"/>
      <c r="G19" s="31" t="str">
        <f aca="false">VLOOKUP("Mean",Language_Translation_Table,Language_Code,FALSE())&amp;":"</f>
        <v>Среднее:</v>
      </c>
      <c r="H19" s="127" t="str">
        <f aca="false">IF(OR(Particle_Type_Code =2,SUM(H9:H18)=0),"",AVERAGE(H9:H18))</f>
        <v/>
      </c>
    </row>
    <row r="20" customFormat="false" ht="12.75" hidden="false" customHeight="false" outlineLevel="0" collapsed="false">
      <c r="C20" s="37" t="str">
        <f aca="false">IF(COUNT(C9:C18)=0,"",IF(Mean_SG&lt;2,VLOOKUP("The calculated SG is less than 2 - check that you have the correct heading for the 'weighing in water' data!",Language_Translation_Table,Language_Code,FALSE()),""))</f>
        <v/>
      </c>
      <c r="H20" s="128"/>
    </row>
    <row r="21" customFormat="false" ht="12.75" hidden="false" customHeight="false" outlineLevel="0" collapsed="false">
      <c r="D21" s="129"/>
      <c r="E21" s="130"/>
      <c r="F21" s="131" t="str">
        <f aca="false">VLOOKUP("Length to cut for req'd mass (mm) =",Language_Translation_Table,Language_Code,FALSE())</f>
        <v>Длина резания для получ. необх. массы (мм)</v>
      </c>
      <c r="G21" s="132" t="str">
        <f aca="false">IF(Particle_Type ="Broken Rock","",H19)</f>
        <v/>
      </c>
    </row>
    <row r="22" customFormat="false" ht="12.75" hidden="false" customHeight="false" outlineLevel="0" collapsed="false">
      <c r="A22" s="11" t="str">
        <f aca="false">IF(Language = "Spanish","Peso en agua, gr.","Wt in Water g")</f>
        <v>Wt in Water g</v>
      </c>
    </row>
    <row r="23" customFormat="false" ht="12.75" hidden="false" customHeight="false" outlineLevel="0" collapsed="false">
      <c r="A23" s="11" t="str">
        <f aca="false">IF(Language = "Spanish","Pérdida del peso en agua, gr.","Wt Loss in Water g")</f>
        <v>Wt Loss in Water g</v>
      </c>
      <c r="E23" s="129"/>
      <c r="F23" s="131" t="str">
        <f aca="false">VLOOKUP("Target mass (g) =",Language_Translation_Table,Language_Code,FALSE())</f>
        <v>Целевая масса (г)=</v>
      </c>
      <c r="G23" s="133" t="n">
        <f aca="false">VLOOKUP(Core_Diam,DiamVTarget,3)</f>
        <v>46.5246650239449</v>
      </c>
    </row>
  </sheetData>
  <sheetProtection sheet="true" password="f068" objects="true" scenarios="true" formatColumns="false"/>
  <mergeCells count="3">
    <mergeCell ref="A4:H5"/>
    <mergeCell ref="A7:D7"/>
    <mergeCell ref="E7:H7"/>
  </mergeCells>
  <dataValidations count="1">
    <dataValidation allowBlank="true" errorStyle="stop" operator="between" showDropDown="false" showErrorMessage="true" showInputMessage="true" sqref="C8" type="list">
      <formula1>SG_Methods_List</formula1>
      <formula2>0</formula2>
    </dataValidation>
  </dataValidations>
  <printOptions headings="false" gridLines="true" gridLinesSet="true" horizontalCentered="false" verticalCentered="false"/>
  <pageMargins left="0.75" right="0.75" top="1" bottom="1"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BG103"/>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E13" activeCellId="1" sqref="A39:A48 E13"/>
    </sheetView>
  </sheetViews>
  <sheetFormatPr defaultColWidth="9.1484375" defaultRowHeight="12.75" zeroHeight="false" outlineLevelRow="0" outlineLevelCol="0"/>
  <cols>
    <col collapsed="false" customWidth="true" hidden="false" outlineLevel="0" max="1" min="1" style="20" width="1.57"/>
    <col collapsed="false" customWidth="true" hidden="false" outlineLevel="0" max="5" min="2" style="134" width="11.14"/>
    <col collapsed="false" customWidth="true" hidden="false" outlineLevel="0" max="6" min="6" style="134" width="10.42"/>
    <col collapsed="false" customWidth="true" hidden="false" outlineLevel="0" max="7" min="7" style="20" width="1.85"/>
    <col collapsed="false" customWidth="true" hidden="false" outlineLevel="0" max="8" min="8" style="20" width="42.29"/>
    <col collapsed="false" customWidth="true" hidden="false" outlineLevel="0" max="9" min="9" style="135" width="12.86"/>
    <col collapsed="false" customWidth="true" hidden="false" outlineLevel="0" max="10" min="10" style="135" width="14.86"/>
    <col collapsed="false" customWidth="true" hidden="false" outlineLevel="0" max="11" min="11" style="135" width="11.71"/>
    <col collapsed="false" customWidth="true" hidden="false" outlineLevel="0" max="12" min="12" style="20" width="11.29"/>
    <col collapsed="false" customWidth="true" hidden="false" outlineLevel="0" max="13" min="13" style="20" width="12.29"/>
    <col collapsed="false" customWidth="true" hidden="false" outlineLevel="0" max="14" min="14" style="134" width="3.57"/>
    <col collapsed="false" customWidth="true" hidden="false" outlineLevel="0" max="15" min="15" style="134" width="59.29"/>
    <col collapsed="false" customWidth="true" hidden="false" outlineLevel="0" max="19" min="16" style="134" width="10.42"/>
    <col collapsed="false" customWidth="true" hidden="false" outlineLevel="0" max="20" min="20" style="20" width="10.42"/>
    <col collapsed="false" customWidth="true" hidden="false" outlineLevel="0" max="21" min="21" style="134" width="11.85"/>
    <col collapsed="false" customWidth="true" hidden="false" outlineLevel="0" max="22" min="22" style="134" width="4.42"/>
    <col collapsed="false" customWidth="true" hidden="false" outlineLevel="0" max="23" min="23" style="134" width="26.15"/>
    <col collapsed="false" customWidth="false" hidden="false" outlineLevel="0" max="53" min="24" style="134" width="9.14"/>
    <col collapsed="false" customWidth="true" hidden="false" outlineLevel="0" max="54" min="54" style="136" width="17.29"/>
    <col collapsed="false" customWidth="false" hidden="false" outlineLevel="0" max="59" min="55" style="136" width="9.14"/>
    <col collapsed="false" customWidth="false" hidden="false" outlineLevel="0" max="16384" min="60" style="134" width="9.14"/>
  </cols>
  <sheetData>
    <row r="1" customFormat="false" ht="12.75" hidden="false" customHeight="false" outlineLevel="0" collapsed="false">
      <c r="B1" s="137"/>
      <c r="C1" s="137"/>
      <c r="D1" s="137"/>
      <c r="E1" s="137"/>
      <c r="F1" s="137"/>
      <c r="G1" s="138"/>
      <c r="H1" s="139" t="str">
        <f aca="false">IF(MassRange=0.35,VLOOKUP("Note: 30% is the default tolerance on individual particle masses.  You should only increase this to 35% if necessary to get the required number of particles.",Language_Translation_Table,Language_Code,FALSE()),"")</f>
        <v/>
      </c>
      <c r="I1" s="139"/>
      <c r="J1" s="139"/>
      <c r="K1" s="139"/>
      <c r="L1" s="139"/>
      <c r="M1" s="139"/>
      <c r="N1" s="139"/>
      <c r="O1" s="139"/>
      <c r="P1" s="139"/>
      <c r="Q1" s="139"/>
      <c r="R1" s="139"/>
      <c r="S1" s="139"/>
      <c r="T1" s="139"/>
      <c r="U1" s="139"/>
    </row>
    <row r="2" customFormat="false" ht="13.8" hidden="false" customHeight="false" outlineLevel="0" collapsed="false">
      <c r="A2" s="140"/>
      <c r="B2" s="141" t="str">
        <f aca="false">VLOOKUP("Weights of 20 Pieces for Quartered Core Cut Particle Sets - Cut Core Method",Language_Translation_Table,Language_Code,FALSE())</f>
        <v>Массы 20 кусков при использовании метода резки керна</v>
      </c>
      <c r="C2" s="141"/>
      <c r="D2" s="141"/>
      <c r="E2" s="141"/>
      <c r="F2" s="141"/>
      <c r="G2" s="142"/>
      <c r="H2" s="143" t="str">
        <f aca="false">VLOOKUP("Particle Selection for Broken Rock Particle Sets - Crush &amp; Select Method",Language_Translation_Table,Language_Code,FALSE()) &amp; " (" &amp; Particle_Range &amp; ")"</f>
        <v>Метод отбора кусков - выбор кусков и составление наборов (60.4 to 69.4 mm)</v>
      </c>
      <c r="I2" s="144"/>
      <c r="J2" s="144"/>
      <c r="K2" s="144"/>
      <c r="L2" s="145"/>
      <c r="M2" s="145"/>
      <c r="N2" s="146"/>
      <c r="O2" s="146"/>
      <c r="P2" s="147"/>
      <c r="Q2" s="148" t="str">
        <f aca="false">'Исходные данные'!A5</f>
        <v>Идентификация образца клиента:</v>
      </c>
      <c r="R2" s="149" t="str">
        <f aca="false">T(Sample_ID)</f>
        <v>ЛТП LU23-029 (CU-AU)</v>
      </c>
      <c r="S2" s="146"/>
      <c r="T2" s="145"/>
      <c r="U2" s="150"/>
      <c r="V2" s="151" t="n">
        <v>0.3</v>
      </c>
      <c r="W2" s="152" t="n">
        <v>0.35</v>
      </c>
      <c r="BB2" s="153" t="s">
        <v>1132</v>
      </c>
    </row>
    <row r="3" customFormat="false" ht="13.8" hidden="false" customHeight="false" outlineLevel="0" collapsed="false">
      <c r="A3" s="140"/>
      <c r="B3" s="141"/>
      <c r="C3" s="141"/>
      <c r="D3" s="141"/>
      <c r="E3" s="141"/>
      <c r="F3" s="141"/>
      <c r="G3" s="142"/>
      <c r="H3" s="154"/>
      <c r="I3" s="155"/>
      <c r="J3" s="155"/>
      <c r="K3" s="155"/>
      <c r="L3" s="39"/>
      <c r="M3" s="39"/>
      <c r="Q3" s="113" t="str">
        <f aca="false">'Исходные данные'!A3</f>
        <v>Заказчик:</v>
      </c>
      <c r="R3" s="5" t="str">
        <f aca="false">T(Client)</f>
        <v>HGE</v>
      </c>
      <c r="T3" s="39"/>
      <c r="U3" s="156"/>
      <c r="V3" s="157"/>
    </row>
    <row r="4" customFormat="false" ht="13.8" hidden="false" customHeight="false" outlineLevel="0" collapsed="false">
      <c r="A4" s="140"/>
      <c r="B4" s="158"/>
      <c r="F4" s="156"/>
      <c r="G4" s="142"/>
      <c r="H4" s="159" t="str">
        <f aca="false">VLOOKUP("Selection of Particles:",Language_Translation_Table,Language_Code,FALSE())</f>
        <v>Выбор кусков:</v>
      </c>
      <c r="I4" s="155"/>
      <c r="J4" s="160" t="str">
        <f aca="false">VLOOKUP("Tolerance",Language_Translation_Table,Language_Code,FALSE())</f>
        <v>Допуск</v>
      </c>
      <c r="K4" s="160" t="str">
        <f aca="false">VLOOKUP("Target (g)",Language_Translation_Table,Language_Code,FALSE())</f>
        <v>Цель (г)</v>
      </c>
      <c r="L4" s="160" t="str">
        <f aca="false">VLOOKUP("Lower (g)",Language_Translation_Table,Language_Code,FALSE())</f>
        <v>Min (г)</v>
      </c>
      <c r="M4" s="160" t="str">
        <f aca="false">VLOOKUP("Upper (g)",Language_Translation_Table,Language_Code,FALSE())</f>
        <v>Max (г)</v>
      </c>
      <c r="Q4" s="113" t="str">
        <f aca="false">'Исходные данные'!A4</f>
        <v>Highland Exploration Имя или номер проекта:</v>
      </c>
      <c r="R4" s="5" t="str">
        <f aca="false">T(Project_ID)</f>
        <v>Лугоканское</v>
      </c>
      <c r="T4" s="39"/>
      <c r="U4" s="156"/>
      <c r="V4" s="157"/>
      <c r="BB4" s="161" t="s">
        <v>1133</v>
      </c>
      <c r="BC4" s="162" t="s">
        <v>1134</v>
      </c>
      <c r="BD4" s="162"/>
      <c r="BE4" s="162"/>
      <c r="BF4" s="162"/>
      <c r="BG4" s="162"/>
    </row>
    <row r="5" customFormat="false" ht="12.75" hidden="false" customHeight="false" outlineLevel="0" collapsed="false">
      <c r="A5" s="140"/>
      <c r="B5" s="163" t="str">
        <f aca="false">VLOOKUP("Particle Set Data",Language_Translation_Table,Language_Code,FALSE())</f>
        <v>Характеристика наборов кусков</v>
      </c>
      <c r="C5" s="163"/>
      <c r="D5" s="163"/>
      <c r="E5" s="163"/>
      <c r="F5" s="163"/>
      <c r="G5" s="142"/>
      <c r="H5" s="154"/>
      <c r="I5" s="164" t="str">
        <f aca="false">VLOOKUP("Target Mass for Individual Particles:",Language_Translation_Table,Language_Code,FALSE())</f>
        <v>Целевая масса индивидуальных кусков:</v>
      </c>
      <c r="J5" s="165" t="n">
        <v>0.3</v>
      </c>
      <c r="K5" s="166" t="n">
        <f aca="false">IF(ISERROR(F27),0,F27)</f>
        <v>46.5246650239449</v>
      </c>
      <c r="L5" s="167" t="n">
        <f aca="false">IF(ISERROR(F27-F27*J5),0,F27-F27*J5)</f>
        <v>32.5672655167614</v>
      </c>
      <c r="M5" s="167" t="n">
        <f aca="false">IF(ISERROR(F27+F27*J5),0,F27+F27*J5)</f>
        <v>60.4820645311284</v>
      </c>
      <c r="O5" s="74" t="str">
        <f aca="false">VLOOKUP("Particle Set Masses Data Entry:",Language_Translation_Table,Language_Code,FALSE())</f>
        <v>Ввод массы наборов кусков</v>
      </c>
      <c r="T5" s="39"/>
      <c r="U5" s="156"/>
      <c r="V5" s="157"/>
      <c r="BB5" s="161"/>
      <c r="BC5" s="136" t="s">
        <v>1135</v>
      </c>
      <c r="BD5" s="136" t="s">
        <v>1136</v>
      </c>
      <c r="BE5" s="136" t="s">
        <v>1137</v>
      </c>
      <c r="BF5" s="136" t="s">
        <v>1138</v>
      </c>
      <c r="BG5" s="136" t="s">
        <v>1139</v>
      </c>
    </row>
    <row r="6" customFormat="false" ht="12.75" hidden="false" customHeight="true" outlineLevel="0" collapsed="false">
      <c r="A6" s="140"/>
      <c r="B6" s="168" t="s">
        <v>705</v>
      </c>
      <c r="C6" s="169" t="str">
        <f aca="false">VLOOKUP("No. of Particles",Language_Translation_Table,Language_Code,FALSE())</f>
        <v>кол-во кусков</v>
      </c>
      <c r="D6" s="169" t="str">
        <f aca="false">VLOOKUP("Total Mass (g)",Language_Translation_Table,Language_Code,FALSE())</f>
        <v>Общая масса (г)</v>
      </c>
      <c r="E6" s="169" t="str">
        <f aca="false">VLOOKUP("Mean Mass (g)",Language_Translation_Table,Language_Code,FALSE())</f>
        <v>Средняя масса (г)</v>
      </c>
      <c r="F6" s="170" t="str">
        <f aca="false">VLOOKUP("Error Status",Language_Translation_Table,Language_Code,FALSE())</f>
        <v>Статус ошибки</v>
      </c>
      <c r="G6" s="142"/>
      <c r="H6" s="171" t="str">
        <f aca="false">IF(MassRange=0.3,VLOOKUP("Select 100 particles between the above mass limits.",Language_Translation_Table,Language_Code,FALSE()),IF(AND(MassRange=0.35,NumParticles=100),VLOOKUP("Select 100 particles between the above mass limits.",Language_Translation_Table,Language_Code,FALSE()) &amp; "  " &amp; VLOOKUP("The test can proceed with fewer particles if necessary - select number from list.",Language_Translation_Table,Language_Code,FALSE()),""))</f>
        <v>Выберите 100 частиц между массовыми пределами выше.</v>
      </c>
      <c r="I6" s="155"/>
      <c r="J6" s="155"/>
      <c r="K6" s="155"/>
      <c r="L6" s="39"/>
      <c r="M6" s="39"/>
      <c r="O6" s="172"/>
      <c r="P6" s="173" t="str">
        <f aca="false">VLOOKUP("Set #",Language_Translation_Table,Language_Code,FALSE()) &amp; "1"</f>
        <v>Набор №1</v>
      </c>
      <c r="Q6" s="173" t="str">
        <f aca="false">VLOOKUP("Set #",Language_Translation_Table,Language_Code,FALSE()) &amp; "2"</f>
        <v>Набор №2</v>
      </c>
      <c r="R6" s="173" t="str">
        <f aca="false">VLOOKUP("Set #",Language_Translation_Table,Language_Code,FALSE()) &amp; "3"</f>
        <v>Набор №3</v>
      </c>
      <c r="S6" s="173" t="str">
        <f aca="false">VLOOKUP("Set #",Language_Translation_Table,Language_Code,FALSE()) &amp; "4"</f>
        <v>Набор №4</v>
      </c>
      <c r="T6" s="173" t="str">
        <f aca="false">VLOOKUP("Set #",Language_Translation_Table,Language_Code,FALSE()) &amp; "5"</f>
        <v>Набор №5</v>
      </c>
      <c r="U6" s="174" t="str">
        <f aca="false">VLOOKUP("Totals",Language_Translation_Table,Language_Code,FALSE())</f>
        <v>Итого</v>
      </c>
      <c r="V6" s="157"/>
    </row>
    <row r="7" customFormat="false" ht="12.75" hidden="false" customHeight="false" outlineLevel="0" collapsed="false">
      <c r="A7" s="140"/>
      <c r="B7" s="168"/>
      <c r="C7" s="169"/>
      <c r="D7" s="169"/>
      <c r="E7" s="169"/>
      <c r="F7" s="170"/>
      <c r="G7" s="142"/>
      <c r="H7" s="154"/>
      <c r="I7" s="164" t="str">
        <f aca="false">VLOOKUP("Total Number of Particles Selected:",Language_Translation_Table,Language_Code,FALSE())</f>
        <v>Общее кол-во отобранных кусков:</v>
      </c>
      <c r="J7" s="175" t="n">
        <v>100</v>
      </c>
      <c r="K7" s="155"/>
      <c r="L7" s="176" t="n">
        <v>0.1</v>
      </c>
      <c r="M7" s="176"/>
      <c r="O7" s="39" t="str">
        <f aca="false">VLOOKUP("Set Count:",Language_Translation_Table,Language_Code,FALSE())</f>
        <v>кусков/набор</v>
      </c>
      <c r="P7" s="93" t="n">
        <f aca="false">IF(VLOOKUP(NumParticles,SetNumbers,2,FALSE())=0,"",VLOOKUP(NumParticles,SetNumbers,2,FALSE()))</f>
        <v>20</v>
      </c>
      <c r="Q7" s="93" t="n">
        <f aca="false">IF(VLOOKUP(NumParticles,SetNumbers,3,FALSE())=0,"",VLOOKUP(NumParticles,SetNumbers,3,FALSE()))</f>
        <v>20</v>
      </c>
      <c r="R7" s="93" t="n">
        <f aca="false">IF(VLOOKUP(NumParticles,SetNumbers,4,FALSE())=0,"",VLOOKUP(NumParticles,SetNumbers,4,FALSE()))</f>
        <v>20</v>
      </c>
      <c r="S7" s="93" t="n">
        <f aca="false">IF(VLOOKUP(NumParticles,SetNumbers,5,FALSE())=0,"",VLOOKUP(NumParticles,SetNumbers,5,FALSE()))</f>
        <v>20</v>
      </c>
      <c r="T7" s="93" t="n">
        <f aca="false">IF(VLOOKUP(NumParticles,SetNumbers,6,FALSE())=0,"",VLOOKUP(NumParticles,SetNumbers,6,FALSE()))</f>
        <v>20</v>
      </c>
      <c r="U7" s="174" t="n">
        <f aca="false">IF(COUNT(P7:T7)=COUNTIF(P8:T8,"&gt;0"),SUM(P7:T7),"")</f>
        <v>100</v>
      </c>
      <c r="V7" s="157"/>
      <c r="BB7" s="136" t="n">
        <v>100</v>
      </c>
      <c r="BC7" s="136" t="n">
        <v>20</v>
      </c>
      <c r="BD7" s="136" t="n">
        <v>20</v>
      </c>
      <c r="BE7" s="136" t="n">
        <v>20</v>
      </c>
      <c r="BF7" s="136" t="n">
        <v>20</v>
      </c>
      <c r="BG7" s="136" t="n">
        <v>20</v>
      </c>
    </row>
    <row r="8" customFormat="false" ht="12.75" hidden="false" customHeight="false" outlineLevel="0" collapsed="false">
      <c r="A8" s="140"/>
      <c r="B8" s="177" t="n">
        <v>1</v>
      </c>
      <c r="C8" s="178" t="n">
        <v>20</v>
      </c>
      <c r="D8" s="178" t="n">
        <v>968.7</v>
      </c>
      <c r="E8" s="179" t="n">
        <f aca="false">IF(D8="","",D8/C8)</f>
        <v>48.435</v>
      </c>
      <c r="F8" s="180" t="str">
        <f aca="false">IF(D8="","",IF(ABS($F$27-E8)/$F$27&gt;$L$7,"Problem","OK"))</f>
        <v>OK</v>
      </c>
      <c r="G8" s="142"/>
      <c r="H8" s="154"/>
      <c r="I8" s="155"/>
      <c r="J8" s="155"/>
      <c r="K8" s="155"/>
      <c r="L8" s="39"/>
      <c r="M8" s="39"/>
      <c r="O8" s="39" t="str">
        <f aca="false">VLOOKUP("Total Set Mass (g):",Language_Translation_Table,Language_Code,FALSE())</f>
        <v>Общая масса набора (г)</v>
      </c>
      <c r="P8" s="181" t="n">
        <v>869.6</v>
      </c>
      <c r="Q8" s="181" t="n">
        <v>863.9</v>
      </c>
      <c r="R8" s="181" t="n">
        <v>861.9</v>
      </c>
      <c r="S8" s="181" t="n">
        <v>868.8</v>
      </c>
      <c r="T8" s="181" t="n">
        <v>863.8</v>
      </c>
      <c r="U8" s="174" t="n">
        <f aca="false">IF(COUNT(P7:T7)=COUNTIF(P8:T8,"&gt;0"),SUM(P8:T8),"")</f>
        <v>4328</v>
      </c>
      <c r="V8" s="157"/>
      <c r="BB8" s="136" t="n">
        <v>99</v>
      </c>
      <c r="BC8" s="136" t="n">
        <v>20</v>
      </c>
      <c r="BD8" s="136" t="n">
        <v>20</v>
      </c>
      <c r="BE8" s="136" t="n">
        <v>20</v>
      </c>
      <c r="BF8" s="136" t="n">
        <v>20</v>
      </c>
      <c r="BG8" s="136" t="n">
        <v>19</v>
      </c>
    </row>
    <row r="9" customFormat="false" ht="12.75" hidden="false" customHeight="false" outlineLevel="0" collapsed="false">
      <c r="A9" s="140"/>
      <c r="B9" s="177" t="n">
        <v>2</v>
      </c>
      <c r="C9" s="178" t="n">
        <v>20</v>
      </c>
      <c r="D9" s="178" t="n">
        <v>1020.1</v>
      </c>
      <c r="E9" s="179" t="n">
        <f aca="false">IF(D9="","",D9/C9)</f>
        <v>51.005</v>
      </c>
      <c r="F9" s="180" t="str">
        <f aca="false">IF(D9="","",IF(ABS($F$27-E9)/$F$27&gt;$L$7,"Problem","OK"))</f>
        <v>OK</v>
      </c>
      <c r="G9" s="142"/>
      <c r="H9" s="182" t="str">
        <f aca="false">IF(AND(MassRange=0.3,NumParticles&lt;100,NumParticles&lt;&gt;""),VLOOKUP("Increase particle tolerance from 30% to 35% before proceding with reduced particle numbers.",Language_Translation_Table,Language_Code,FALSE()),IF(NumParticles&lt;&gt;"",VLOOKUP("Make up particle sets to be within the mass range specifications below:",Language_Translation_Table,Language_Code,FALSE())))</f>
        <v>Составьте наборы кусков в соответствии со спецификациями ниже:</v>
      </c>
      <c r="I9" s="182"/>
      <c r="J9" s="182"/>
      <c r="K9" s="182"/>
      <c r="L9" s="182"/>
      <c r="M9" s="182"/>
      <c r="O9" s="39" t="str">
        <f aca="false">VLOOKUP("Set Mass Status:",Language_Translation_Table,Language_Code,FALSE())</f>
        <v>Статус массы набора:</v>
      </c>
      <c r="P9" s="183" t="str">
        <f aca="false">IF(AND(Particle_Type_Code = 2,AND(P7&lt;&gt;"",P8&lt;&gt;"")),IF(P8&lt;P11,"Low",IF(P8&gt;P12,"High","OK")),"")</f>
        <v/>
      </c>
      <c r="Q9" s="183" t="str">
        <f aca="false">IF(AND(Particle_Type_Code = 2,AND(Q7&lt;&gt;"",Q8&lt;&gt;"")),IF(Q8&lt;Q11,"Low",IF(Q8&gt;Q12,"High","OK")),"")</f>
        <v/>
      </c>
      <c r="R9" s="183" t="str">
        <f aca="false">IF(AND(Particle_Type_Code = 2,AND(R7&lt;&gt;"",R8&lt;&gt;"")),IF(R8&lt;R11,"Low",IF(R8&gt;R12,"High","OK")),"")</f>
        <v/>
      </c>
      <c r="S9" s="183" t="str">
        <f aca="false">IF(AND(Particle_Type_Code = 2,AND(S7&lt;&gt;"",S8&lt;&gt;"")),IF(S8&lt;S11,"Low",IF(S8&gt;S12,"High","OK")),"")</f>
        <v/>
      </c>
      <c r="T9" s="183" t="str">
        <f aca="false">IF(AND(Particle_Type_Code = 2,AND(T7&lt;&gt;"",T8&lt;&gt;"")),IF(T8&lt;T11,"Low",IF(T8&gt;T12,"High","OK")),"")</f>
        <v/>
      </c>
      <c r="U9" s="184"/>
      <c r="V9" s="157"/>
      <c r="BB9" s="136" t="n">
        <v>98</v>
      </c>
      <c r="BC9" s="136" t="n">
        <v>20</v>
      </c>
      <c r="BD9" s="136" t="n">
        <v>20</v>
      </c>
      <c r="BE9" s="136" t="n">
        <v>20</v>
      </c>
      <c r="BF9" s="136" t="n">
        <v>19</v>
      </c>
      <c r="BG9" s="136" t="n">
        <v>19</v>
      </c>
    </row>
    <row r="10" customFormat="false" ht="12.75" hidden="false" customHeight="false" outlineLevel="0" collapsed="false">
      <c r="A10" s="140"/>
      <c r="B10" s="177" t="n">
        <v>3</v>
      </c>
      <c r="C10" s="178" t="n">
        <v>20</v>
      </c>
      <c r="D10" s="178" t="n">
        <v>1011.2</v>
      </c>
      <c r="E10" s="179" t="n">
        <f aca="false">IF(D10="","",D10/C10)</f>
        <v>50.56</v>
      </c>
      <c r="F10" s="180" t="str">
        <f aca="false">IF(D10="","",IF(ABS($F$27-E10)/$F$27&gt;$L$7,"Problem","OK"))</f>
        <v>OK</v>
      </c>
      <c r="G10" s="142"/>
      <c r="H10" s="159" t="str">
        <f aca="false">VLOOKUP("Preparation of Particle Sets:",Language_Translation_Table,Language_Code,FALSE())</f>
        <v>Подготовка наборов кусков:</v>
      </c>
      <c r="I10" s="160" t="str">
        <f aca="false">VLOOKUP("No. of Sets",Language_Translation_Table,Language_Code,FALSE())</f>
        <v>кол-во наборов</v>
      </c>
      <c r="J10" s="160" t="str">
        <f aca="false">VLOOKUP("Particles/Set",Language_Translation_Table,Language_Code,FALSE())</f>
        <v>кусков/набор</v>
      </c>
      <c r="K10" s="160" t="str">
        <f aca="false">VLOOKUP("Target (g)",Language_Translation_Table,Language_Code,FALSE())</f>
        <v>Цель (г)</v>
      </c>
      <c r="L10" s="160" t="str">
        <f aca="false">VLOOKUP("Lower (g)",Language_Translation_Table,Language_Code,FALSE())</f>
        <v>Min (г)</v>
      </c>
      <c r="M10" s="160" t="str">
        <f aca="false">VLOOKUP("Upper (g)",Language_Translation_Table,Language_Code,FALSE())</f>
        <v>Max (г)</v>
      </c>
      <c r="N10" s="185"/>
      <c r="O10" s="186" t="str">
        <f aca="false">VLOOKUP("Target Mass for Each Set (g):",Language_Translation_Table,Language_Code,FALSE())</f>
        <v>Целевая массовой Для каждого набора (г):</v>
      </c>
      <c r="P10" s="187" t="n">
        <f aca="false">IF(ISERROR(IF(P7="","",P7*$F$27)),0,IF(P7="","",P7*$F$27))</f>
        <v>930.493300478898</v>
      </c>
      <c r="Q10" s="187" t="n">
        <f aca="false">IF(ISERROR(IF(Q7="","",Q7*$F$27)),0,IF(Q7="","",Q7*$F$27))</f>
        <v>930.493300478898</v>
      </c>
      <c r="R10" s="187" t="n">
        <f aca="false">IF(ISERROR(IF(R7="","",R7*$F$27)),0,IF(R7="","",R7*$F$27))</f>
        <v>930.493300478898</v>
      </c>
      <c r="S10" s="187" t="n">
        <f aca="false">IF(ISERROR(IF(S7="","",S7*$F$27)),0,IF(S7="","",S7*$F$27))</f>
        <v>930.493300478898</v>
      </c>
      <c r="T10" s="187" t="n">
        <f aca="false">IF(ISERROR(IF(T7="","",T7*$F$27)),0,IF(T7="","",T7*$F$27))</f>
        <v>930.493300478898</v>
      </c>
      <c r="U10" s="188" t="n">
        <f aca="false">SUM(P10:T10)</f>
        <v>4652.46650239449</v>
      </c>
      <c r="V10" s="157"/>
      <c r="BB10" s="136" t="n">
        <v>97</v>
      </c>
      <c r="BC10" s="136" t="n">
        <v>20</v>
      </c>
      <c r="BD10" s="136" t="n">
        <v>20</v>
      </c>
      <c r="BE10" s="136" t="n">
        <v>19</v>
      </c>
      <c r="BF10" s="136" t="n">
        <v>19</v>
      </c>
      <c r="BG10" s="136" t="n">
        <v>19</v>
      </c>
    </row>
    <row r="11" customFormat="false" ht="12.75" hidden="false" customHeight="false" outlineLevel="0" collapsed="false">
      <c r="A11" s="140"/>
      <c r="B11" s="177" t="n">
        <v>4</v>
      </c>
      <c r="C11" s="178" t="n">
        <v>20</v>
      </c>
      <c r="D11" s="178" t="n">
        <v>1022.4</v>
      </c>
      <c r="E11" s="179" t="n">
        <f aca="false">IF(D11="","",D11/C11)</f>
        <v>51.12</v>
      </c>
      <c r="F11" s="180" t="str">
        <f aca="false">IF(D11="","",IF(ABS($F$27-E11)/$F$27&gt;$L$7,"Problem","OK"))</f>
        <v>OK</v>
      </c>
      <c r="G11" s="142"/>
      <c r="H11" s="189" t="str">
        <f aca="false">IF(I11=5,VLOOKUP("Particle Sets Specification:",Language_Translation_Table,Language_Code,FALSE()),VLOOKUP("Larger Particle Sets Specification:",Language_Translation_Table,Language_Code,FALSE()))</f>
        <v>Спецификация наборов кусков:</v>
      </c>
      <c r="I11" s="190" t="n">
        <f aca="false">COUNTIF(P7:T7,J11)</f>
        <v>5</v>
      </c>
      <c r="J11" s="191" t="n">
        <f aca="false">$P$7</f>
        <v>20</v>
      </c>
      <c r="K11" s="192" t="n">
        <f aca="false">K5*J11</f>
        <v>930.493300478898</v>
      </c>
      <c r="L11" s="193" t="n">
        <f aca="false">IF(ISERROR($F$27*J11*(1-$L$7)),0,$F$27*J11*(1-$L$7))</f>
        <v>837.443970431008</v>
      </c>
      <c r="M11" s="193" t="n">
        <f aca="false">IF(ISERROR($F$27*J11*(1+$L$7)),0,$F$27*J11*(1+$L$7))</f>
        <v>1023.54263052679</v>
      </c>
      <c r="N11" s="39"/>
      <c r="O11" s="186" t="str">
        <f aca="false">VLOOKUP("Lower Limit for Set Mass (g):",Language_Translation_Table,Language_Code,FALSE())</f>
        <v>Min масса набора (g):</v>
      </c>
      <c r="P11" s="187" t="n">
        <f aca="false">IF(P10="","",P10-P10*$L$7)</f>
        <v>837.443970431008</v>
      </c>
      <c r="Q11" s="187" t="n">
        <f aca="false">IF(Q10="","",Q10-Q10*$L$7)</f>
        <v>837.443970431008</v>
      </c>
      <c r="R11" s="187" t="n">
        <f aca="false">IF(R10="","",R10-R10*$L$7)</f>
        <v>837.443970431008</v>
      </c>
      <c r="S11" s="187" t="n">
        <f aca="false">IF(S10="","",S10-S10*$L$7)</f>
        <v>837.443970431008</v>
      </c>
      <c r="T11" s="187" t="n">
        <f aca="false">IF(T10="","",T10-T10*$L$7)</f>
        <v>837.443970431008</v>
      </c>
      <c r="U11" s="194"/>
      <c r="V11" s="157"/>
      <c r="BB11" s="136" t="n">
        <v>96</v>
      </c>
      <c r="BC11" s="136" t="n">
        <v>20</v>
      </c>
      <c r="BD11" s="136" t="n">
        <v>19</v>
      </c>
      <c r="BE11" s="136" t="n">
        <v>19</v>
      </c>
      <c r="BF11" s="136" t="n">
        <v>19</v>
      </c>
      <c r="BG11" s="136" t="n">
        <v>19</v>
      </c>
    </row>
    <row r="12" customFormat="false" ht="12.75" hidden="false" customHeight="false" outlineLevel="0" collapsed="false">
      <c r="A12" s="140"/>
      <c r="B12" s="177" t="n">
        <v>5</v>
      </c>
      <c r="C12" s="178" t="n">
        <v>20</v>
      </c>
      <c r="D12" s="178" t="n">
        <v>1005.8</v>
      </c>
      <c r="E12" s="179" t="n">
        <f aca="false">IF(D12="","",D12/C12)</f>
        <v>50.29</v>
      </c>
      <c r="F12" s="180" t="str">
        <f aca="false">IF(D12="","",IF(ABS($F$27-E12)/$F$27&gt;$L$7,"Problem","OK"))</f>
        <v>OK</v>
      </c>
      <c r="G12" s="142"/>
      <c r="H12" s="189" t="str">
        <f aca="false">VLOOKUP("Smaller Particle Sets Specification:",Language_Translation_Table,Language_Code,FALSE())</f>
        <v>Спецификация меньших наборов кусков:</v>
      </c>
      <c r="I12" s="190" t="n">
        <f aca="false">COUNTIF(P7:T7,IF(J12=0,"",J12))</f>
        <v>0</v>
      </c>
      <c r="J12" s="195" t="n">
        <f aca="true">IF(OFFSET($P$7,0,VALUE(I11))="",0,OFFSET($P$7,0,VALUE(I11)))</f>
        <v>100</v>
      </c>
      <c r="K12" s="192" t="n">
        <f aca="false">IF(J12=0,"",K5*J12)</f>
        <v>4652.46650239449</v>
      </c>
      <c r="L12" s="196" t="n">
        <f aca="false">IF(J12=0,"",$F$27*J12*(1-$L$7))</f>
        <v>4187.21985215504</v>
      </c>
      <c r="M12" s="196" t="n">
        <f aca="false">IF(J12=0,"",$F$27*J12*(1+$L$7))</f>
        <v>5117.71315263394</v>
      </c>
      <c r="N12" s="39"/>
      <c r="O12" s="186" t="str">
        <f aca="false">VLOOKUP("Upper Limit for Set Mass (g):",Language_Translation_Table,Language_Code,FALSE())</f>
        <v>Верхний предел для массы этой Set (г):</v>
      </c>
      <c r="P12" s="187" t="n">
        <f aca="false">IF(P10="","",P10+P10*$L$7)</f>
        <v>1023.54263052679</v>
      </c>
      <c r="Q12" s="187" t="n">
        <f aca="false">IF(Q10="","",Q10+Q10*$L$7)</f>
        <v>1023.54263052679</v>
      </c>
      <c r="R12" s="187" t="n">
        <f aca="false">IF(R10="","",R10+R10*$L$7)</f>
        <v>1023.54263052679</v>
      </c>
      <c r="S12" s="187" t="n">
        <f aca="false">IF(S10="","",S10+S10*$L$7)</f>
        <v>1023.54263052679</v>
      </c>
      <c r="T12" s="187" t="n">
        <f aca="false">IF(T10="","",T10+T10*$L$7)</f>
        <v>1023.54263052679</v>
      </c>
      <c r="U12" s="197" t="str">
        <f aca="false">VLOOKUP("Average",Language_Translation_Table,Language_Code,FALSE())</f>
        <v>Средний</v>
      </c>
      <c r="V12" s="157"/>
      <c r="BB12" s="136" t="n">
        <v>95</v>
      </c>
      <c r="BC12" s="136" t="n">
        <v>19</v>
      </c>
      <c r="BD12" s="136" t="n">
        <v>19</v>
      </c>
      <c r="BE12" s="136" t="n">
        <v>19</v>
      </c>
      <c r="BF12" s="136" t="n">
        <v>19</v>
      </c>
      <c r="BG12" s="136" t="n">
        <v>19</v>
      </c>
    </row>
    <row r="13" customFormat="false" ht="12.75" hidden="false" customHeight="false" outlineLevel="0" collapsed="false">
      <c r="A13" s="140"/>
      <c r="B13" s="177" t="s">
        <v>1140</v>
      </c>
      <c r="C13" s="136" t="n">
        <f aca="false">SUM(C8:C12)</f>
        <v>100</v>
      </c>
      <c r="D13" s="136" t="n">
        <f aca="false">SUM(D8:D12)</f>
        <v>5028.2</v>
      </c>
      <c r="E13" s="179"/>
      <c r="F13" s="198"/>
      <c r="G13" s="142"/>
      <c r="H13" s="199" t="str">
        <f aca="false">VLOOKUP("Total Number of Particles Selected:",Language_Translation_Table,Language_Code,FALSE())</f>
        <v>Общее кол-во отобранных кусков:</v>
      </c>
      <c r="I13" s="17" t="n">
        <f aca="false">COUNT(P7:T7)</f>
        <v>5</v>
      </c>
      <c r="J13" s="200" t="n">
        <f aca="false">I11*J11+I12*J12</f>
        <v>100</v>
      </c>
      <c r="N13" s="39"/>
      <c r="O13" s="39" t="str">
        <f aca="false">VLOOKUP("Average Particle Mass (g):",Language_Translation_Table,Language_Code,FALSE())</f>
        <v>Средняя масса частицы (g):</v>
      </c>
      <c r="P13" s="201" t="n">
        <f aca="false">IF(P8="","",P8/P7)</f>
        <v>43.48</v>
      </c>
      <c r="Q13" s="201" t="n">
        <f aca="false">IF(Q8="","",Q8/Q7)</f>
        <v>43.195</v>
      </c>
      <c r="R13" s="201" t="n">
        <f aca="false">IF(R8="","",R8/R7)</f>
        <v>43.095</v>
      </c>
      <c r="S13" s="201" t="n">
        <f aca="false">IF(S8="","",S8/S7)</f>
        <v>43.44</v>
      </c>
      <c r="T13" s="202" t="n">
        <f aca="false">IF(OR(T8="",T7=""),"",T8/T7)</f>
        <v>43.19</v>
      </c>
      <c r="U13" s="203" t="n">
        <f aca="false">IF(COUNT(P7:T7)=COUNTIF(P8:T8,"&gt;0"),SUM(SelectMethodParticles)/SUM(P7:T7),"")</f>
        <v>43.28</v>
      </c>
      <c r="V13" s="157"/>
      <c r="BB13" s="136" t="n">
        <v>94</v>
      </c>
      <c r="BC13" s="136" t="n">
        <v>19</v>
      </c>
      <c r="BD13" s="136" t="n">
        <v>19</v>
      </c>
      <c r="BE13" s="136" t="n">
        <v>19</v>
      </c>
      <c r="BF13" s="136" t="n">
        <v>19</v>
      </c>
      <c r="BG13" s="136" t="n">
        <v>18</v>
      </c>
    </row>
    <row r="14" customFormat="false" ht="12.75" hidden="false" customHeight="false" outlineLevel="0" collapsed="false">
      <c r="A14" s="140"/>
      <c r="B14" s="158"/>
      <c r="F14" s="156"/>
      <c r="G14" s="142"/>
      <c r="H14" s="204"/>
      <c r="I14" s="205"/>
      <c r="J14" s="205"/>
      <c r="K14" s="205"/>
      <c r="L14" s="206"/>
      <c r="M14" s="206"/>
      <c r="N14" s="207"/>
      <c r="O14" s="207"/>
      <c r="P14" s="207"/>
      <c r="Q14" s="207"/>
      <c r="R14" s="207"/>
      <c r="S14" s="207"/>
      <c r="T14" s="207"/>
      <c r="U14" s="208"/>
      <c r="V14" s="157"/>
      <c r="BB14" s="136" t="n">
        <v>93</v>
      </c>
      <c r="BC14" s="136" t="n">
        <v>19</v>
      </c>
      <c r="BD14" s="136" t="n">
        <v>19</v>
      </c>
      <c r="BE14" s="136" t="n">
        <v>19</v>
      </c>
      <c r="BF14" s="136" t="n">
        <v>18</v>
      </c>
      <c r="BG14" s="136" t="n">
        <v>18</v>
      </c>
    </row>
    <row r="15" customFormat="false" ht="12.75" hidden="false" customHeight="false" outlineLevel="0" collapsed="false">
      <c r="A15" s="140"/>
      <c r="B15" s="158"/>
      <c r="F15" s="156"/>
      <c r="G15" s="142"/>
      <c r="H15" s="154"/>
      <c r="I15" s="155"/>
      <c r="J15" s="155"/>
      <c r="K15" s="155"/>
      <c r="L15" s="39"/>
      <c r="M15" s="39"/>
      <c r="U15" s="156"/>
      <c r="V15" s="157"/>
      <c r="BB15" s="136" t="n">
        <v>92</v>
      </c>
      <c r="BC15" s="136" t="n">
        <v>19</v>
      </c>
      <c r="BD15" s="136" t="n">
        <v>19</v>
      </c>
      <c r="BE15" s="136" t="n">
        <v>18</v>
      </c>
      <c r="BF15" s="136" t="n">
        <v>18</v>
      </c>
      <c r="BG15" s="136" t="n">
        <v>18</v>
      </c>
    </row>
    <row r="16" customFormat="false" ht="12.75" hidden="false" customHeight="false" outlineLevel="0" collapsed="false">
      <c r="A16" s="140"/>
      <c r="B16" s="158"/>
      <c r="F16" s="156"/>
      <c r="G16" s="142"/>
      <c r="H16" s="209"/>
      <c r="I16" s="210"/>
      <c r="J16" s="210"/>
      <c r="K16" s="210"/>
      <c r="L16" s="210"/>
      <c r="M16" s="210"/>
      <c r="N16" s="210"/>
      <c r="O16" s="39"/>
      <c r="U16" s="156"/>
      <c r="V16" s="157"/>
      <c r="BB16" s="136" t="n">
        <v>91</v>
      </c>
      <c r="BC16" s="136" t="n">
        <v>19</v>
      </c>
      <c r="BD16" s="136" t="n">
        <v>18</v>
      </c>
      <c r="BE16" s="136" t="n">
        <v>18</v>
      </c>
      <c r="BF16" s="136" t="n">
        <v>18</v>
      </c>
      <c r="BG16" s="136" t="n">
        <v>18</v>
      </c>
    </row>
    <row r="17" customFormat="false" ht="12.75" hidden="false" customHeight="false" outlineLevel="0" collapsed="false">
      <c r="A17" s="140"/>
      <c r="B17" s="158"/>
      <c r="F17" s="156"/>
      <c r="G17" s="142"/>
      <c r="H17" s="154"/>
      <c r="I17" s="155"/>
      <c r="J17" s="155"/>
      <c r="K17" s="155"/>
      <c r="L17" s="39"/>
      <c r="M17" s="39"/>
      <c r="O17" s="39"/>
      <c r="U17" s="156"/>
      <c r="V17" s="157"/>
      <c r="BB17" s="136" t="n">
        <v>90</v>
      </c>
      <c r="BC17" s="136" t="n">
        <v>18</v>
      </c>
      <c r="BD17" s="136" t="n">
        <v>18</v>
      </c>
      <c r="BE17" s="136" t="n">
        <v>18</v>
      </c>
      <c r="BF17" s="136" t="n">
        <v>18</v>
      </c>
      <c r="BG17" s="136" t="n">
        <v>18</v>
      </c>
    </row>
    <row r="18" customFormat="false" ht="12.75" hidden="false" customHeight="false" outlineLevel="0" collapsed="false">
      <c r="A18" s="140"/>
      <c r="B18" s="158"/>
      <c r="F18" s="156"/>
      <c r="G18" s="142"/>
      <c r="H18" s="154"/>
      <c r="I18" s="155"/>
      <c r="J18" s="155"/>
      <c r="K18" s="155"/>
      <c r="L18" s="39"/>
      <c r="M18" s="39"/>
      <c r="O18" s="39"/>
      <c r="U18" s="156"/>
      <c r="V18" s="157"/>
      <c r="BB18" s="136" t="n">
        <v>89</v>
      </c>
      <c r="BC18" s="136" t="n">
        <v>18</v>
      </c>
      <c r="BD18" s="136" t="n">
        <v>18</v>
      </c>
      <c r="BE18" s="136" t="n">
        <v>18</v>
      </c>
      <c r="BF18" s="136" t="n">
        <v>18</v>
      </c>
      <c r="BG18" s="136" t="n">
        <v>17</v>
      </c>
    </row>
    <row r="19" customFormat="false" ht="12.75" hidden="false" customHeight="false" outlineLevel="0" collapsed="false">
      <c r="A19" s="140"/>
      <c r="B19" s="158"/>
      <c r="F19" s="156"/>
      <c r="G19" s="142"/>
      <c r="H19" s="154"/>
      <c r="I19" s="155"/>
      <c r="J19" s="155"/>
      <c r="K19" s="155"/>
      <c r="L19" s="39"/>
      <c r="M19" s="39"/>
      <c r="O19" s="39"/>
      <c r="U19" s="156"/>
      <c r="V19" s="157"/>
      <c r="BB19" s="136" t="n">
        <v>88</v>
      </c>
      <c r="BC19" s="136" t="n">
        <v>18</v>
      </c>
      <c r="BD19" s="136" t="n">
        <v>18</v>
      </c>
      <c r="BE19" s="136" t="n">
        <v>18</v>
      </c>
      <c r="BF19" s="136" t="n">
        <v>17</v>
      </c>
      <c r="BG19" s="136" t="n">
        <v>17</v>
      </c>
    </row>
    <row r="20" customFormat="false" ht="12.75" hidden="false" customHeight="false" outlineLevel="0" collapsed="false">
      <c r="A20" s="140"/>
      <c r="B20" s="158"/>
      <c r="F20" s="156"/>
      <c r="G20" s="142"/>
      <c r="H20" s="154"/>
      <c r="I20" s="155"/>
      <c r="J20" s="155"/>
      <c r="K20" s="155"/>
      <c r="L20" s="39"/>
      <c r="M20" s="39"/>
      <c r="O20" s="39"/>
      <c r="U20" s="156"/>
      <c r="V20" s="157"/>
      <c r="BB20" s="136" t="n">
        <v>87</v>
      </c>
      <c r="BC20" s="136" t="n">
        <v>18</v>
      </c>
      <c r="BD20" s="136" t="n">
        <v>18</v>
      </c>
      <c r="BE20" s="136" t="n">
        <v>17</v>
      </c>
      <c r="BF20" s="136" t="n">
        <v>17</v>
      </c>
      <c r="BG20" s="136" t="n">
        <v>17</v>
      </c>
    </row>
    <row r="21" customFormat="false" ht="12.75" hidden="false" customHeight="false" outlineLevel="0" collapsed="false">
      <c r="A21" s="140"/>
      <c r="B21" s="158"/>
      <c r="F21" s="156"/>
      <c r="G21" s="142"/>
      <c r="H21" s="154"/>
      <c r="I21" s="155"/>
      <c r="J21" s="155"/>
      <c r="K21" s="155"/>
      <c r="L21" s="39"/>
      <c r="M21" s="39"/>
      <c r="O21" s="39"/>
      <c r="U21" s="156"/>
      <c r="V21" s="157"/>
      <c r="BB21" s="136" t="n">
        <v>86</v>
      </c>
      <c r="BC21" s="136" t="n">
        <v>18</v>
      </c>
      <c r="BD21" s="136" t="n">
        <v>17</v>
      </c>
      <c r="BE21" s="136" t="n">
        <v>17</v>
      </c>
      <c r="BF21" s="136" t="n">
        <v>17</v>
      </c>
      <c r="BG21" s="136" t="n">
        <v>17</v>
      </c>
    </row>
    <row r="22" customFormat="false" ht="12.75" hidden="false" customHeight="false" outlineLevel="0" collapsed="false">
      <c r="A22" s="140"/>
      <c r="B22" s="158"/>
      <c r="F22" s="156"/>
      <c r="G22" s="142"/>
      <c r="H22" s="154"/>
      <c r="I22" s="155"/>
      <c r="J22" s="155"/>
      <c r="K22" s="155"/>
      <c r="L22" s="39"/>
      <c r="M22" s="39"/>
      <c r="O22" s="39"/>
      <c r="U22" s="156"/>
      <c r="V22" s="157"/>
      <c r="BB22" s="136" t="n">
        <v>85</v>
      </c>
      <c r="BC22" s="136" t="n">
        <v>17</v>
      </c>
      <c r="BD22" s="136" t="n">
        <v>17</v>
      </c>
      <c r="BE22" s="136" t="n">
        <v>17</v>
      </c>
      <c r="BF22" s="136" t="n">
        <v>17</v>
      </c>
      <c r="BG22" s="136" t="n">
        <v>17</v>
      </c>
    </row>
    <row r="23" customFormat="false" ht="12.75" hidden="false" customHeight="false" outlineLevel="0" collapsed="false">
      <c r="A23" s="140"/>
      <c r="B23" s="211" t="str">
        <f aca="false">VLOOKUP("Particle Set Results:",Language_Translation_Table,Language_Code,FALSE())</f>
        <v>Характеристика наборов кусков</v>
      </c>
      <c r="D23" s="212"/>
      <c r="E23" s="3"/>
      <c r="F23" s="156"/>
      <c r="G23" s="142"/>
      <c r="H23" s="154"/>
      <c r="I23" s="155"/>
      <c r="J23" s="155"/>
      <c r="K23" s="155"/>
      <c r="L23" s="39"/>
      <c r="M23" s="39"/>
      <c r="O23" s="39"/>
      <c r="U23" s="156"/>
      <c r="V23" s="157"/>
      <c r="BB23" s="136" t="n">
        <v>84</v>
      </c>
      <c r="BC23" s="136" t="n">
        <v>17</v>
      </c>
      <c r="BD23" s="136" t="n">
        <v>17</v>
      </c>
      <c r="BE23" s="136" t="n">
        <v>17</v>
      </c>
      <c r="BF23" s="136" t="n">
        <v>17</v>
      </c>
      <c r="BG23" s="136" t="n">
        <v>16</v>
      </c>
    </row>
    <row r="24" customFormat="false" ht="12.75" hidden="false" customHeight="false" outlineLevel="0" collapsed="false">
      <c r="A24" s="140"/>
      <c r="B24" s="158"/>
      <c r="F24" s="156"/>
      <c r="G24" s="142"/>
      <c r="H24" s="154"/>
      <c r="I24" s="155"/>
      <c r="J24" s="155"/>
      <c r="K24" s="155"/>
      <c r="L24" s="39"/>
      <c r="M24" s="39"/>
      <c r="O24" s="39"/>
      <c r="U24" s="156"/>
      <c r="V24" s="157"/>
      <c r="BB24" s="136" t="n">
        <v>83</v>
      </c>
      <c r="BC24" s="136" t="n">
        <v>17</v>
      </c>
      <c r="BD24" s="136" t="n">
        <v>17</v>
      </c>
      <c r="BE24" s="136" t="n">
        <v>17</v>
      </c>
      <c r="BF24" s="136" t="n">
        <v>16</v>
      </c>
      <c r="BG24" s="136" t="n">
        <v>16</v>
      </c>
    </row>
    <row r="25" customFormat="false" ht="12.75" hidden="false" customHeight="false" outlineLevel="0" collapsed="false">
      <c r="A25" s="140"/>
      <c r="B25" s="158"/>
      <c r="E25" s="212" t="str">
        <f aca="false">VLOOKUP("Measured Rock Density (g/cc):",Language_Translation_Table,Language_Code,FALSE())</f>
        <v>Измеренная плотность (г/см3)</v>
      </c>
      <c r="F25" s="213" t="n">
        <f aca="false">IF(ISERROR(Mean_SG),0,Mean_SG)</f>
        <v>2.82584214188198</v>
      </c>
      <c r="G25" s="142"/>
      <c r="H25" s="154"/>
      <c r="I25" s="155"/>
      <c r="J25" s="39"/>
      <c r="O25" s="39"/>
      <c r="U25" s="156"/>
      <c r="V25" s="157"/>
      <c r="BB25" s="136" t="n">
        <v>82</v>
      </c>
      <c r="BC25" s="136" t="n">
        <v>17</v>
      </c>
      <c r="BD25" s="136" t="n">
        <v>17</v>
      </c>
      <c r="BE25" s="136" t="n">
        <v>16</v>
      </c>
      <c r="BF25" s="136" t="n">
        <v>16</v>
      </c>
      <c r="BG25" s="136" t="n">
        <v>16</v>
      </c>
    </row>
    <row r="26" customFormat="false" ht="12.75" hidden="false" customHeight="false" outlineLevel="0" collapsed="false">
      <c r="A26" s="140"/>
      <c r="B26" s="158"/>
      <c r="E26" s="212" t="str">
        <f aca="false">VLOOKUP("Volume of pieces required (cm3):",Language_Translation_Table,Language_Code,FALSE())</f>
        <v>Необходимый объем кусков (см3)</v>
      </c>
      <c r="F26" s="214" t="n">
        <f aca="false">VLOOKUP(Core_Diam,DiamVTarget,2,TRUE())</f>
        <v>16.464</v>
      </c>
      <c r="G26" s="142"/>
      <c r="H26" s="154"/>
      <c r="I26" s="155"/>
      <c r="J26" s="39"/>
      <c r="O26" s="39"/>
      <c r="U26" s="156"/>
      <c r="V26" s="157"/>
      <c r="BB26" s="136" t="n">
        <v>81</v>
      </c>
      <c r="BC26" s="136" t="n">
        <v>17</v>
      </c>
      <c r="BD26" s="136" t="n">
        <v>16</v>
      </c>
      <c r="BE26" s="136" t="n">
        <v>16</v>
      </c>
      <c r="BF26" s="136" t="n">
        <v>16</v>
      </c>
      <c r="BG26" s="136" t="n">
        <v>16</v>
      </c>
    </row>
    <row r="27" customFormat="false" ht="12.75" hidden="false" customHeight="false" outlineLevel="0" collapsed="false">
      <c r="A27" s="140"/>
      <c r="B27" s="158"/>
      <c r="E27" s="212" t="str">
        <f aca="false">VLOOKUP("Target Average Particle Mass (g):",Language_Translation_Table,Language_Code,FALSE())</f>
        <v>Средняя целевая масса куска (г):</v>
      </c>
      <c r="F27" s="215" t="n">
        <f aca="false">IF(ISERROR(F26*Mean_SG),0,F26*Mean_SG)</f>
        <v>46.5246650239449</v>
      </c>
      <c r="G27" s="142"/>
      <c r="H27" s="154"/>
      <c r="I27" s="155"/>
      <c r="J27" s="39"/>
      <c r="O27" s="39"/>
      <c r="U27" s="156"/>
      <c r="V27" s="157"/>
      <c r="BB27" s="136" t="n">
        <v>80</v>
      </c>
      <c r="BC27" s="136" t="n">
        <v>16</v>
      </c>
      <c r="BD27" s="136" t="n">
        <v>16</v>
      </c>
      <c r="BE27" s="136" t="n">
        <v>16</v>
      </c>
      <c r="BF27" s="136" t="n">
        <v>16</v>
      </c>
      <c r="BG27" s="136" t="n">
        <v>16</v>
      </c>
    </row>
    <row r="28" customFormat="false" ht="12.75" hidden="false" customHeight="false" outlineLevel="0" collapsed="false">
      <c r="A28" s="140"/>
      <c r="B28" s="158"/>
      <c r="F28" s="156"/>
      <c r="G28" s="142"/>
      <c r="H28" s="154"/>
      <c r="I28" s="155"/>
      <c r="J28" s="39"/>
      <c r="O28" s="39"/>
      <c r="U28" s="156"/>
      <c r="V28" s="157"/>
      <c r="BB28" s="136" t="n">
        <v>79</v>
      </c>
      <c r="BC28" s="136" t="n">
        <v>20</v>
      </c>
      <c r="BD28" s="136" t="n">
        <v>20</v>
      </c>
      <c r="BE28" s="136" t="n">
        <v>20</v>
      </c>
      <c r="BF28" s="136" t="n">
        <v>19</v>
      </c>
      <c r="BG28" s="136" t="n">
        <v>0</v>
      </c>
    </row>
    <row r="29" customFormat="false" ht="12.75" hidden="false" customHeight="false" outlineLevel="0" collapsed="false">
      <c r="A29" s="140"/>
      <c r="B29" s="158"/>
      <c r="E29" s="212" t="str">
        <f aca="false">VLOOKUP("Lower Limit for Average Particle Mass (g):",Language_Translation_Table,Language_Code,FALSE())</f>
        <v>Нижняя граница средней массы (г):</v>
      </c>
      <c r="F29" s="213" t="n">
        <f aca="false">$F$27*(1-$L$7)</f>
        <v>41.8721985215504</v>
      </c>
      <c r="G29" s="142"/>
      <c r="H29" s="154"/>
      <c r="I29" s="155"/>
      <c r="J29" s="39"/>
      <c r="O29" s="39"/>
      <c r="U29" s="156"/>
      <c r="V29" s="157"/>
      <c r="BB29" s="136" t="n">
        <v>78</v>
      </c>
      <c r="BC29" s="136" t="n">
        <v>20</v>
      </c>
      <c r="BD29" s="136" t="n">
        <v>20</v>
      </c>
      <c r="BE29" s="136" t="n">
        <v>19</v>
      </c>
      <c r="BF29" s="136" t="n">
        <v>19</v>
      </c>
      <c r="BG29" s="136" t="n">
        <v>0</v>
      </c>
    </row>
    <row r="30" customFormat="false" ht="12.75" hidden="false" customHeight="false" outlineLevel="0" collapsed="false">
      <c r="A30" s="140"/>
      <c r="B30" s="158"/>
      <c r="E30" s="212" t="str">
        <f aca="false">VLOOKUP("Upper Limit for Average Particle Mass (g):",Language_Translation_Table,Language_Code,FALSE())</f>
        <v>Верхняя граница средней массы (г):</v>
      </c>
      <c r="F30" s="213" t="n">
        <f aca="false">$F$27*(1+$L$7)</f>
        <v>51.1771315263394</v>
      </c>
      <c r="G30" s="142"/>
      <c r="H30" s="154"/>
      <c r="I30" s="155"/>
      <c r="J30" s="39"/>
      <c r="O30" s="39"/>
      <c r="U30" s="156"/>
      <c r="V30" s="157"/>
      <c r="BB30" s="136" t="n">
        <v>77</v>
      </c>
      <c r="BC30" s="136" t="n">
        <v>20</v>
      </c>
      <c r="BD30" s="136" t="n">
        <v>19</v>
      </c>
      <c r="BE30" s="136" t="n">
        <v>19</v>
      </c>
      <c r="BF30" s="136" t="n">
        <v>19</v>
      </c>
      <c r="BG30" s="136" t="n">
        <v>0</v>
      </c>
    </row>
    <row r="31" customFormat="false" ht="12.75" hidden="false" customHeight="false" outlineLevel="0" collapsed="false">
      <c r="A31" s="140"/>
      <c r="B31" s="158"/>
      <c r="F31" s="156"/>
      <c r="G31" s="142"/>
      <c r="H31" s="154"/>
      <c r="I31" s="155"/>
      <c r="J31" s="39"/>
      <c r="O31" s="39"/>
      <c r="U31" s="156"/>
      <c r="V31" s="157"/>
      <c r="BB31" s="136" t="n">
        <v>76</v>
      </c>
      <c r="BC31" s="136" t="n">
        <v>19</v>
      </c>
      <c r="BD31" s="136" t="n">
        <v>19</v>
      </c>
      <c r="BE31" s="136" t="n">
        <v>19</v>
      </c>
      <c r="BF31" s="136" t="n">
        <v>19</v>
      </c>
      <c r="BG31" s="136" t="n">
        <v>0</v>
      </c>
    </row>
    <row r="32" customFormat="false" ht="12.75" hidden="false" customHeight="false" outlineLevel="0" collapsed="false">
      <c r="A32" s="140"/>
      <c r="B32" s="158"/>
      <c r="E32" s="212" t="str">
        <f aca="false">VLOOKUP("Achieved Average Particle Mass (g):",Language_Translation_Table,Language_Code,FALSE())</f>
        <v>Средняя масса полученных кусков (г):</v>
      </c>
      <c r="F32" s="216" t="n">
        <f aca="false">IF(AND(COUNT(U7:U8)=2,U8&lt;&gt;0),U8/U7,IF(AND(C13&lt;&gt;0,D13&lt;&gt;0),D13/C13,""))</f>
        <v>43.28</v>
      </c>
      <c r="G32" s="142"/>
      <c r="H32" s="154"/>
      <c r="I32" s="155"/>
      <c r="J32" s="39"/>
      <c r="T32" s="39"/>
      <c r="U32" s="156"/>
      <c r="V32" s="157"/>
      <c r="BB32" s="136" t="n">
        <v>75</v>
      </c>
      <c r="BC32" s="136" t="n">
        <v>19</v>
      </c>
      <c r="BD32" s="136" t="n">
        <v>19</v>
      </c>
      <c r="BE32" s="136" t="n">
        <v>19</v>
      </c>
      <c r="BF32" s="136" t="n">
        <v>18</v>
      </c>
      <c r="BG32" s="136" t="n">
        <v>0</v>
      </c>
    </row>
    <row r="33" customFormat="false" ht="12.75" hidden="false" customHeight="false" outlineLevel="0" collapsed="false">
      <c r="A33" s="140"/>
      <c r="B33" s="158"/>
      <c r="F33" s="156"/>
      <c r="G33" s="142"/>
      <c r="H33" s="154"/>
      <c r="I33" s="155"/>
      <c r="J33" s="155"/>
      <c r="K33" s="155"/>
      <c r="L33" s="39"/>
      <c r="M33" s="39"/>
      <c r="T33" s="39"/>
      <c r="U33" s="156"/>
      <c r="V33" s="157"/>
      <c r="BB33" s="136" t="n">
        <v>74</v>
      </c>
      <c r="BC33" s="136" t="n">
        <v>19</v>
      </c>
      <c r="BD33" s="136" t="n">
        <v>19</v>
      </c>
      <c r="BE33" s="136" t="n">
        <v>18</v>
      </c>
      <c r="BF33" s="136" t="n">
        <v>18</v>
      </c>
      <c r="BG33" s="136" t="n">
        <v>0</v>
      </c>
    </row>
    <row r="34" customFormat="false" ht="12.75" hidden="false" customHeight="false" outlineLevel="0" collapsed="false">
      <c r="A34" s="140"/>
      <c r="B34" s="217"/>
      <c r="C34" s="218"/>
      <c r="D34" s="218"/>
      <c r="E34" s="218"/>
      <c r="F34" s="219"/>
      <c r="G34" s="142"/>
      <c r="H34" s="220"/>
      <c r="I34" s="221"/>
      <c r="J34" s="221"/>
      <c r="K34" s="221"/>
      <c r="L34" s="222"/>
      <c r="M34" s="222"/>
      <c r="N34" s="218"/>
      <c r="O34" s="218"/>
      <c r="P34" s="218"/>
      <c r="Q34" s="218"/>
      <c r="R34" s="218"/>
      <c r="S34" s="218"/>
      <c r="T34" s="222"/>
      <c r="U34" s="219"/>
      <c r="V34" s="157"/>
      <c r="BB34" s="136" t="n">
        <v>73</v>
      </c>
      <c r="BC34" s="136" t="n">
        <v>19</v>
      </c>
      <c r="BD34" s="136" t="n">
        <v>18</v>
      </c>
      <c r="BE34" s="136" t="n">
        <v>18</v>
      </c>
      <c r="BF34" s="136" t="n">
        <v>18</v>
      </c>
      <c r="BG34" s="136" t="n">
        <v>0</v>
      </c>
    </row>
    <row r="35" customFormat="false" ht="12.75" hidden="false" customHeight="false" outlineLevel="0" collapsed="false">
      <c r="B35" s="223"/>
      <c r="C35" s="223"/>
      <c r="D35" s="223"/>
      <c r="E35" s="223"/>
      <c r="F35" s="223"/>
      <c r="H35" s="224"/>
      <c r="I35" s="225"/>
      <c r="J35" s="225"/>
      <c r="K35" s="225"/>
      <c r="L35" s="224"/>
      <c r="M35" s="224"/>
      <c r="N35" s="223"/>
      <c r="O35" s="223"/>
      <c r="P35" s="223"/>
      <c r="Q35" s="223"/>
      <c r="R35" s="223"/>
      <c r="S35" s="223"/>
      <c r="T35" s="224"/>
      <c r="U35" s="223"/>
      <c r="BB35" s="136" t="n">
        <v>72</v>
      </c>
      <c r="BC35" s="136" t="n">
        <v>18</v>
      </c>
      <c r="BD35" s="136" t="n">
        <v>18</v>
      </c>
      <c r="BE35" s="136" t="n">
        <v>18</v>
      </c>
      <c r="BF35" s="136" t="n">
        <v>18</v>
      </c>
      <c r="BG35" s="136" t="n">
        <v>0</v>
      </c>
    </row>
    <row r="36" customFormat="false" ht="12.75" hidden="false" customHeight="false" outlineLevel="0" collapsed="false">
      <c r="BB36" s="136" t="n">
        <v>71</v>
      </c>
      <c r="BC36" s="136" t="n">
        <v>18</v>
      </c>
      <c r="BD36" s="136" t="n">
        <v>18</v>
      </c>
      <c r="BE36" s="136" t="n">
        <v>18</v>
      </c>
      <c r="BF36" s="136" t="n">
        <v>17</v>
      </c>
      <c r="BG36" s="136" t="n">
        <v>0</v>
      </c>
    </row>
    <row r="37" customFormat="false" ht="12.75" hidden="false" customHeight="false" outlineLevel="0" collapsed="false">
      <c r="BB37" s="136" t="n">
        <v>70</v>
      </c>
      <c r="BC37" s="136" t="n">
        <v>18</v>
      </c>
      <c r="BD37" s="136" t="n">
        <v>18</v>
      </c>
      <c r="BE37" s="136" t="n">
        <v>17</v>
      </c>
      <c r="BF37" s="136" t="n">
        <v>17</v>
      </c>
      <c r="BG37" s="136" t="n">
        <v>0</v>
      </c>
    </row>
    <row r="38" customFormat="false" ht="12.75" hidden="false" customHeight="false" outlineLevel="0" collapsed="false">
      <c r="BB38" s="136" t="n">
        <v>69</v>
      </c>
      <c r="BC38" s="136" t="n">
        <v>18</v>
      </c>
      <c r="BD38" s="136" t="n">
        <v>17</v>
      </c>
      <c r="BE38" s="136" t="n">
        <v>17</v>
      </c>
      <c r="BF38" s="136" t="n">
        <v>17</v>
      </c>
      <c r="BG38" s="136" t="n">
        <v>0</v>
      </c>
    </row>
    <row r="39" customFormat="false" ht="12.75" hidden="false" customHeight="false" outlineLevel="0" collapsed="false">
      <c r="BB39" s="136" t="n">
        <v>68</v>
      </c>
      <c r="BC39" s="136" t="n">
        <v>17</v>
      </c>
      <c r="BD39" s="136" t="n">
        <v>17</v>
      </c>
      <c r="BE39" s="136" t="n">
        <v>17</v>
      </c>
      <c r="BF39" s="136" t="n">
        <v>17</v>
      </c>
      <c r="BG39" s="136" t="n">
        <v>0</v>
      </c>
    </row>
    <row r="40" customFormat="false" ht="12.75" hidden="false" customHeight="false" outlineLevel="0" collapsed="false">
      <c r="BB40" s="136" t="n">
        <v>67</v>
      </c>
      <c r="BC40" s="136" t="n">
        <v>17</v>
      </c>
      <c r="BD40" s="136" t="n">
        <v>17</v>
      </c>
      <c r="BE40" s="136" t="n">
        <v>17</v>
      </c>
      <c r="BF40" s="136" t="n">
        <v>16</v>
      </c>
      <c r="BG40" s="136" t="n">
        <v>0</v>
      </c>
    </row>
    <row r="41" customFormat="false" ht="12.75" hidden="false" customHeight="false" outlineLevel="0" collapsed="false">
      <c r="BB41" s="136" t="n">
        <v>66</v>
      </c>
      <c r="BC41" s="136" t="n">
        <v>17</v>
      </c>
      <c r="BD41" s="136" t="n">
        <v>17</v>
      </c>
      <c r="BE41" s="136" t="n">
        <v>16</v>
      </c>
      <c r="BF41" s="136" t="n">
        <v>16</v>
      </c>
      <c r="BG41" s="136" t="n">
        <v>0</v>
      </c>
    </row>
    <row r="42" customFormat="false" ht="12.75" hidden="false" customHeight="false" outlineLevel="0" collapsed="false">
      <c r="BB42" s="136" t="n">
        <v>65</v>
      </c>
      <c r="BC42" s="136" t="n">
        <v>17</v>
      </c>
      <c r="BD42" s="136" t="n">
        <v>16</v>
      </c>
      <c r="BE42" s="136" t="n">
        <v>16</v>
      </c>
      <c r="BF42" s="136" t="n">
        <v>16</v>
      </c>
      <c r="BG42" s="136" t="n">
        <v>0</v>
      </c>
    </row>
    <row r="43" customFormat="false" ht="12.75" hidden="false" customHeight="false" outlineLevel="0" collapsed="false">
      <c r="BB43" s="136" t="n">
        <v>64</v>
      </c>
      <c r="BC43" s="136" t="n">
        <v>16</v>
      </c>
      <c r="BD43" s="136" t="n">
        <v>16</v>
      </c>
      <c r="BE43" s="136" t="n">
        <v>16</v>
      </c>
      <c r="BF43" s="136" t="n">
        <v>16</v>
      </c>
      <c r="BG43" s="136" t="n">
        <v>0</v>
      </c>
    </row>
    <row r="44" customFormat="false" ht="12.75" hidden="false" customHeight="false" outlineLevel="0" collapsed="false">
      <c r="BB44" s="136" t="n">
        <v>63</v>
      </c>
      <c r="BC44" s="136" t="n">
        <v>16</v>
      </c>
      <c r="BD44" s="136" t="n">
        <v>16</v>
      </c>
      <c r="BE44" s="136" t="n">
        <v>16</v>
      </c>
      <c r="BF44" s="136" t="n">
        <v>15</v>
      </c>
      <c r="BG44" s="136" t="n">
        <v>0</v>
      </c>
    </row>
    <row r="45" customFormat="false" ht="12.75" hidden="false" customHeight="false" outlineLevel="0" collapsed="false">
      <c r="BB45" s="136" t="n">
        <v>62</v>
      </c>
      <c r="BC45" s="136" t="n">
        <v>16</v>
      </c>
      <c r="BD45" s="136" t="n">
        <v>16</v>
      </c>
      <c r="BE45" s="136" t="n">
        <v>15</v>
      </c>
      <c r="BF45" s="136" t="n">
        <v>15</v>
      </c>
      <c r="BG45" s="136" t="n">
        <v>0</v>
      </c>
    </row>
    <row r="46" customFormat="false" ht="12.75" hidden="false" customHeight="true" outlineLevel="0" collapsed="false">
      <c r="BB46" s="136" t="n">
        <v>61</v>
      </c>
      <c r="BC46" s="136" t="n">
        <v>16</v>
      </c>
      <c r="BD46" s="136" t="n">
        <v>15</v>
      </c>
      <c r="BE46" s="136" t="n">
        <v>15</v>
      </c>
      <c r="BF46" s="136" t="n">
        <v>15</v>
      </c>
      <c r="BG46" s="136" t="n">
        <v>0</v>
      </c>
    </row>
    <row r="47" customFormat="false" ht="12.75" hidden="false" customHeight="false" outlineLevel="0" collapsed="false">
      <c r="BB47" s="136" t="n">
        <v>60</v>
      </c>
      <c r="BC47" s="136" t="n">
        <v>15</v>
      </c>
      <c r="BD47" s="136" t="n">
        <v>15</v>
      </c>
      <c r="BE47" s="136" t="n">
        <v>15</v>
      </c>
      <c r="BF47" s="136" t="n">
        <v>15</v>
      </c>
      <c r="BG47" s="136" t="n">
        <v>0</v>
      </c>
    </row>
    <row r="103" s="134" customFormat="true" ht="12.75" hidden="false" customHeight="false" outlineLevel="0" collapsed="false">
      <c r="J103" s="135"/>
      <c r="BB103" s="136"/>
      <c r="BC103" s="136"/>
      <c r="BD103" s="136"/>
      <c r="BE103" s="136"/>
      <c r="BF103" s="136"/>
      <c r="BG103" s="136"/>
    </row>
  </sheetData>
  <sheetProtection sheet="true" password="f068" objects="true" scenarios="true" formatColumns="false"/>
  <mergeCells count="12">
    <mergeCell ref="B1:F1"/>
    <mergeCell ref="H1:U1"/>
    <mergeCell ref="B2:F3"/>
    <mergeCell ref="BB4:BB5"/>
    <mergeCell ref="BC4:BG4"/>
    <mergeCell ref="B5:F5"/>
    <mergeCell ref="B6:B7"/>
    <mergeCell ref="C6:C7"/>
    <mergeCell ref="D6:D7"/>
    <mergeCell ref="E6:E7"/>
    <mergeCell ref="F6:F7"/>
    <mergeCell ref="H9:M9"/>
  </mergeCells>
  <conditionalFormatting sqref="P13:T13">
    <cfRule type="cellIs" priority="2" operator="equal" aboveAverage="0" equalAverage="0" bottom="0" percent="0" rank="0" text="" dxfId="0">
      <formula>"Problem"</formula>
    </cfRule>
  </conditionalFormatting>
  <conditionalFormatting sqref="P9:T9">
    <cfRule type="cellIs" priority="3" operator="equal" aboveAverage="0" equalAverage="0" bottom="0" percent="0" rank="0" text="" dxfId="1">
      <formula>"High"</formula>
    </cfRule>
    <cfRule type="cellIs" priority="4" operator="equal" aboveAverage="0" equalAverage="0" bottom="0" percent="0" rank="0" text="" dxfId="2">
      <formula>"Low"</formula>
    </cfRule>
  </conditionalFormatting>
  <conditionalFormatting sqref="N10">
    <cfRule type="expression" priority="5" aboveAverage="0" equalAverage="0" bottom="0" percent="0" rank="0" text="" dxfId="3">
      <formula>$N$9=1</formula>
    </cfRule>
    <cfRule type="expression" priority="6" aboveAverage="0" equalAverage="0" bottom="0" percent="0" rank="0" text="" dxfId="4">
      <formula>AND($J$5=0.35,$N$9=2)</formula>
    </cfRule>
  </conditionalFormatting>
  <conditionalFormatting sqref="H11:M11">
    <cfRule type="expression" priority="7" aboveAverage="0" equalAverage="0" bottom="0" percent="0" rank="0" text="" dxfId="5">
      <formula>AND($J$5=0.3,$J$7&lt;100)</formula>
    </cfRule>
  </conditionalFormatting>
  <conditionalFormatting sqref="H12:M12">
    <cfRule type="expression" priority="8" aboveAverage="0" equalAverage="0" bottom="0" percent="0" rank="0" text="" dxfId="6">
      <formula>OR($I$11=5,AND($J$5=0.3,$J$7&lt;100))</formula>
    </cfRule>
  </conditionalFormatting>
  <conditionalFormatting sqref="F32">
    <cfRule type="cellIs" priority="9" operator="lessThan" aboveAverage="0" equalAverage="0" bottom="0" percent="0" rank="0" text="" dxfId="7">
      <formula>$F$29</formula>
    </cfRule>
    <cfRule type="cellIs" priority="10" operator="greaterThan" aboveAverage="0" equalAverage="0" bottom="0" percent="0" rank="0" text="" dxfId="8">
      <formula>$F$30</formula>
    </cfRule>
  </conditionalFormatting>
  <conditionalFormatting sqref="G1:H1">
    <cfRule type="cellIs" priority="11" operator="notEqual" aboveAverage="0" equalAverage="0" bottom="0" percent="0" rank="0" text="" dxfId="9">
      <formula>""</formula>
    </cfRule>
  </conditionalFormatting>
  <conditionalFormatting sqref="H9:M9">
    <cfRule type="expression" priority="12" aboveAverage="0" equalAverage="0" bottom="0" percent="0" rank="0" text="" dxfId="10">
      <formula>OR($J$7=100,$J$5=0.35)</formula>
    </cfRule>
  </conditionalFormatting>
  <dataValidations count="2">
    <dataValidation allowBlank="false" errorStyle="stop" operator="between" showDropDown="false" showErrorMessage="true" showInputMessage="true" sqref="J5" type="list">
      <formula1>$V$2:$W$2</formula1>
      <formula2>0</formula2>
    </dataValidation>
    <dataValidation allowBlank="true" errorStyle="stop" operator="between" showDropDown="false" showErrorMessage="true" showInputMessage="true" sqref="J7" type="list">
      <formula1>TotalNums80</formula1>
      <formula2>0</formula2>
    </dataValidation>
  </dataValidations>
  <printOptions headings="false" gridLines="true" gridLinesSet="true" horizontalCentered="false" verticalCentered="false"/>
  <pageMargins left="0.659722222222222" right="0.590277777777778" top="1" bottom="1" header="0.511811023622047" footer="0.511811023622047"/>
  <pageSetup paperSize="9"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H65"/>
  <sheetViews>
    <sheetView showFormulas="false" showGridLines="true" showRowColHeaders="true" showZeros="true" rightToLeft="false" tabSelected="false" showOutlineSymbols="true" defaultGridColor="true" view="normal" topLeftCell="A34" colorId="64" zoomScale="80" zoomScaleNormal="80" zoomScalePageLayoutView="100" workbookViewId="0">
      <selection pane="topLeft" activeCell="B38" activeCellId="1" sqref="A39:A48 B38"/>
    </sheetView>
  </sheetViews>
  <sheetFormatPr defaultColWidth="8.54296875" defaultRowHeight="12.75" zeroHeight="false" outlineLevelRow="0" outlineLevelCol="0"/>
  <cols>
    <col collapsed="false" customWidth="true" hidden="false" outlineLevel="0" max="1" min="1" style="0" width="42.57"/>
    <col collapsed="false" customWidth="true" hidden="false" outlineLevel="0" max="7" min="2" style="0" width="23.14"/>
    <col collapsed="false" customWidth="true" hidden="false" outlineLevel="0" max="8" min="8" style="0" width="2.29"/>
    <col collapsed="false" customWidth="true" hidden="false" outlineLevel="0" max="9" min="9" style="0" width="14.71"/>
    <col collapsed="false" customWidth="true" hidden="false" outlineLevel="0" max="10" min="10" style="0" width="13.71"/>
    <col collapsed="false" customWidth="true" hidden="false" outlineLevel="0" max="11" min="11" style="0" width="11.14"/>
    <col collapsed="false" customWidth="true" hidden="false" outlineLevel="0" max="12" min="12" style="0" width="10.57"/>
  </cols>
  <sheetData>
    <row r="1" customFormat="false" ht="22.05" hidden="false" customHeight="false" outlineLevel="0" collapsed="false">
      <c r="A1" s="1" t="str">
        <f aca="false">VLOOKUP("SMC Test - Drop-Weight Testing",Language_Translation_Table,Language_Code,FALSE())</f>
        <v>Тест SMC - результаты тестирования</v>
      </c>
    </row>
    <row r="2" customFormat="false" ht="19.5" hidden="false" customHeight="true" outlineLevel="0" collapsed="false">
      <c r="A2" s="35"/>
      <c r="B2" s="35"/>
      <c r="C2" s="35"/>
      <c r="D2" s="35"/>
      <c r="E2" s="22" t="str">
        <f aca="false">VLOOKUP("Measured Wts",Language_Translation_Table,Language_Code,FALSE())</f>
        <v>Массы грузов (кг)</v>
      </c>
      <c r="F2" s="22" t="str">
        <f aca="false">VLOOKUP("Available Wts",Language_Translation_Table,Language_Code,FALSE())</f>
        <v>Комбинации грузов</v>
      </c>
      <c r="G2" s="22" t="s">
        <v>1141</v>
      </c>
    </row>
    <row r="3" customFormat="false" ht="19.5" hidden="false" customHeight="true" outlineLevel="0" collapsed="false">
      <c r="A3" s="2" t="str">
        <f aca="false">'Исходные данные'!A3</f>
        <v>Заказчик:</v>
      </c>
      <c r="B3" s="226" t="str">
        <f aca="false">Client</f>
        <v>HGE</v>
      </c>
      <c r="C3" s="226"/>
      <c r="D3" s="227" t="s">
        <v>1142</v>
      </c>
      <c r="E3" s="228" t="n">
        <v>2.7081</v>
      </c>
      <c r="F3" s="229" t="s">
        <v>1142</v>
      </c>
      <c r="G3" s="230" t="n">
        <f aca="false">ROUND(E3,3)</f>
        <v>2.708</v>
      </c>
    </row>
    <row r="4" customFormat="false" ht="19.5" hidden="false" customHeight="true" outlineLevel="0" collapsed="false">
      <c r="A4" s="2" t="str">
        <f aca="false">'Исходные данные'!A5</f>
        <v>Идентификация образца клиента:</v>
      </c>
      <c r="B4" s="226" t="str">
        <f aca="false">Sample_ID</f>
        <v>ЛТП LU23-029 (CU-AU)</v>
      </c>
      <c r="C4" s="226"/>
      <c r="D4" s="227" t="n">
        <v>1</v>
      </c>
      <c r="E4" s="231" t="n">
        <v>2.0094</v>
      </c>
      <c r="F4" s="229" t="s">
        <v>1143</v>
      </c>
      <c r="G4" s="230" t="n">
        <f aca="false">ROUND(E3+E4,3)</f>
        <v>4.718</v>
      </c>
    </row>
    <row r="5" customFormat="false" ht="19.5" hidden="false" customHeight="true" outlineLevel="0" collapsed="false">
      <c r="A5" s="2" t="str">
        <f aca="false">'Исходные данные'!A6</f>
        <v>Месторождение /поставщик руды:</v>
      </c>
      <c r="B5" s="226" t="str">
        <f aca="false">Sample_Name</f>
        <v>Лугоканское</v>
      </c>
      <c r="C5" s="226"/>
      <c r="D5" s="227" t="n">
        <v>2</v>
      </c>
      <c r="E5" s="231" t="n">
        <v>2.0051</v>
      </c>
      <c r="F5" s="229" t="s">
        <v>1144</v>
      </c>
      <c r="G5" s="230" t="n">
        <f aca="false">ROUND(E3+E4+E5,3)</f>
        <v>6.723</v>
      </c>
      <c r="H5" s="33"/>
    </row>
    <row r="6" customFormat="false" ht="19.5" hidden="false" customHeight="true" outlineLevel="0" collapsed="false">
      <c r="A6" s="2" t="str">
        <f aca="false">'Исходные данные'!A7</f>
        <v>Оператор:</v>
      </c>
      <c r="B6" s="232" t="str">
        <f aca="false">Tested_by</f>
        <v>Чижов Н.А.</v>
      </c>
      <c r="C6" s="232"/>
      <c r="D6" s="227" t="s">
        <v>1145</v>
      </c>
      <c r="E6" s="231" t="n">
        <v>14.995</v>
      </c>
      <c r="F6" s="229" t="s">
        <v>1145</v>
      </c>
      <c r="G6" s="230" t="n">
        <f aca="false">ROUND(E6,3)</f>
        <v>14.995</v>
      </c>
      <c r="H6" s="33"/>
    </row>
    <row r="7" customFormat="false" ht="19.5" hidden="false" customHeight="true" outlineLevel="0" collapsed="false">
      <c r="A7" s="2" t="str">
        <f aca="false">'Исходные данные'!A8</f>
        <v>Дата теста:  ('dd/mm/yyyy')</v>
      </c>
      <c r="B7" s="232" t="n">
        <f aca="false">Date_Tested</f>
        <v>45202</v>
      </c>
      <c r="C7" s="232"/>
      <c r="D7" s="227" t="n">
        <v>1</v>
      </c>
      <c r="E7" s="231" t="n">
        <v>9.99</v>
      </c>
      <c r="F7" s="229" t="s">
        <v>1146</v>
      </c>
      <c r="G7" s="230" t="n">
        <f aca="false">ROUND(E6+E7,3)</f>
        <v>24.985</v>
      </c>
      <c r="H7" s="33"/>
    </row>
    <row r="8" customFormat="false" ht="19.5" hidden="false" customHeight="true" outlineLevel="0" collapsed="false">
      <c r="A8" s="40"/>
      <c r="B8" s="40"/>
      <c r="C8" s="40"/>
      <c r="D8" s="227" t="n">
        <v>2</v>
      </c>
      <c r="E8" s="231" t="n">
        <v>9.995</v>
      </c>
      <c r="F8" s="229" t="s">
        <v>1147</v>
      </c>
      <c r="G8" s="230" t="n">
        <f aca="false">ROUND(E6+E7+E8,3)</f>
        <v>34.98</v>
      </c>
      <c r="H8" s="33"/>
    </row>
    <row r="9" customFormat="false" ht="19.5" hidden="false" customHeight="true" outlineLevel="0" collapsed="false">
      <c r="A9" s="40" t="str">
        <f aca="false">VLOOKUP("Core Dia.",Language_Translation_Table,Language_Code,FALSE())&amp; ":"</f>
        <v>Диаметр керна:</v>
      </c>
      <c r="B9" s="233" t="n">
        <f aca="false">Core_Diam</f>
        <v>63.8004856379267</v>
      </c>
      <c r="C9" s="19" t="s">
        <v>1148</v>
      </c>
      <c r="D9" s="227" t="n">
        <v>3</v>
      </c>
      <c r="E9" s="231" t="n">
        <v>5.0178</v>
      </c>
      <c r="F9" s="229" t="s">
        <v>1149</v>
      </c>
      <c r="G9" s="230" t="n">
        <f aca="false">ROUND(E6+E7+E8+E9,3)</f>
        <v>39.998</v>
      </c>
      <c r="H9" s="33"/>
    </row>
    <row r="10" customFormat="false" ht="19.5" hidden="false" customHeight="true" outlineLevel="0" collapsed="false">
      <c r="A10" s="35"/>
      <c r="B10" s="35"/>
      <c r="C10" s="35"/>
      <c r="D10" s="227" t="n">
        <v>4</v>
      </c>
      <c r="E10" s="231" t="n">
        <v>5.0184</v>
      </c>
      <c r="F10" s="229" t="s">
        <v>1150</v>
      </c>
      <c r="G10" s="230" t="n">
        <f aca="false">ROUND(E6+E7+E8+E9+E10,3)</f>
        <v>45.016</v>
      </c>
      <c r="H10" s="33"/>
    </row>
    <row r="11" customFormat="false" ht="19.5" hidden="false" customHeight="true" outlineLevel="0" collapsed="false">
      <c r="A11" s="2" t="str">
        <f aca="false">'Исходные данные'!A4</f>
        <v>Highland Exploration Имя или номер проекта:</v>
      </c>
      <c r="B11" s="226" t="str">
        <f aca="false">Project_ID</f>
        <v>Лугоканское</v>
      </c>
      <c r="C11" s="226"/>
      <c r="D11" s="227" t="n">
        <v>5</v>
      </c>
      <c r="E11" s="231" t="n">
        <v>5.0168</v>
      </c>
      <c r="F11" s="229" t="s">
        <v>1151</v>
      </c>
      <c r="G11" s="230" t="n">
        <f aca="false">ROUND(E6+E7+E8+E9+E10+E11,3)</f>
        <v>50.033</v>
      </c>
      <c r="H11" s="33"/>
    </row>
    <row r="12" customFormat="false" ht="19.5" hidden="false" customHeight="true" outlineLevel="0" collapsed="false">
      <c r="A12" s="35"/>
      <c r="B12" s="35"/>
      <c r="C12" s="35"/>
      <c r="D12" s="35"/>
      <c r="E12" s="35"/>
      <c r="F12" s="35"/>
      <c r="G12" s="234"/>
      <c r="H12" s="33"/>
    </row>
    <row r="13" customFormat="false" ht="19.5" hidden="false" customHeight="true" outlineLevel="0" collapsed="false">
      <c r="A13" s="235" t="str">
        <f aca="false">VLOOKUP("Particle Set Data",Language_Translation_Table,Language_Code,FALSE())</f>
        <v>Характеристика наборов кусков</v>
      </c>
      <c r="B13" s="235"/>
      <c r="C13" s="235"/>
      <c r="D13" s="235"/>
      <c r="E13" s="236" t="str">
        <f aca="false">VLOOKUP("Target Eis (kWh/t)",Language_Translation_Table,Language_Code,FALSE())</f>
        <v>Целевая Eis (кВт·ч/т)</v>
      </c>
      <c r="F13" s="235" t="str">
        <f aca="false">VLOOKUP("Test Height Calculations",Language_Translation_Table,Language_Code,FALSE())</f>
        <v>Расчеты высоты сбрасывания</v>
      </c>
      <c r="G13" s="235"/>
      <c r="H13" s="33"/>
    </row>
    <row r="14" customFormat="false" ht="19.5" hidden="false" customHeight="true" outlineLevel="0" collapsed="false">
      <c r="A14" s="22" t="str">
        <f aca="false">VLOOKUP("Set #",Language_Translation_Table,Language_Code,FALSE())</f>
        <v>Набор №</v>
      </c>
      <c r="B14" s="22" t="str">
        <f aca="false">VLOOKUP("No. of Particles",Language_Translation_Table,Language_Code,FALSE())</f>
        <v>кол-во кусков</v>
      </c>
      <c r="C14" s="22" t="str">
        <f aca="false">VLOOKUP("Total Mass (g)",Language_Translation_Table,Language_Code,FALSE())</f>
        <v>Общая масса (г)</v>
      </c>
      <c r="D14" s="237" t="str">
        <f aca="false">VLOOKUP("Mean Mass (g)",Language_Translation_Table,Language_Code,FALSE())</f>
        <v>Средняя масса (г)</v>
      </c>
      <c r="E14" s="236"/>
      <c r="F14" s="22" t="str">
        <f aca="false">VLOOKUP("Drop Wt (kg)",Language_Translation_Table,Language_Code,FALSE())</f>
        <v>Масса (кг)</v>
      </c>
      <c r="G14" s="22" t="str">
        <f aca="false">VLOOKUP("Drop Ht (cm)",Language_Translation_Table,Language_Code,FALSE())</f>
        <v>Высота (см)</v>
      </c>
    </row>
    <row r="15" customFormat="false" ht="19.5" hidden="false" customHeight="true" outlineLevel="0" collapsed="false">
      <c r="A15" s="22" t="n">
        <v>1</v>
      </c>
      <c r="B15" s="227" t="n">
        <f aca="false">IF(Particle_Type_Code = 2,'Отбор кусков'!P7,IF(Particle_Type_Code = 1,'Отбор кусков'!C8,"Error"))</f>
        <v>20</v>
      </c>
      <c r="C15" s="238" t="n">
        <f aca="false">IF(Particle_Type_Code = 2,'Отбор кусков'!P8,IF(Particle_Type_Code = 1,'Отбор кусков'!D8,"Error"))</f>
        <v>968.7</v>
      </c>
      <c r="D15" s="239" t="n">
        <f aca="false">IF(B15&gt;0,C15/B15,0)</f>
        <v>48.435</v>
      </c>
      <c r="E15" s="240" t="n">
        <v>0.25</v>
      </c>
      <c r="F15" s="241" t="n">
        <v>14.995</v>
      </c>
      <c r="G15" s="238" t="n">
        <f aca="false">IF(ISERROR(D15*E15/(F15*0.0272)+1.5),0,D15*E15/(F15*0.0272)+1.5)</f>
        <v>31.1882048918267</v>
      </c>
    </row>
    <row r="16" customFormat="false" ht="19.5" hidden="false" customHeight="true" outlineLevel="0" collapsed="false">
      <c r="A16" s="22" t="n">
        <v>2</v>
      </c>
      <c r="B16" s="227" t="n">
        <f aca="false">IF(Particle_Type_Code = 2,'Отбор кусков'!Q7,IF(Particle_Type_Code = 1,'Отбор кусков'!C9,"Error"))</f>
        <v>20</v>
      </c>
      <c r="C16" s="238" t="n">
        <f aca="false">IF(Particle_Type_Code = 2,'Отбор кусков'!Q8,IF(Particle_Type_Code = 1,'Отбор кусков'!D9,"Error"))</f>
        <v>1020.1</v>
      </c>
      <c r="D16" s="239" t="n">
        <f aca="false">IF(B16&gt;0,C16/B16,0)</f>
        <v>51.005</v>
      </c>
      <c r="E16" s="238" t="n">
        <v>0.5</v>
      </c>
      <c r="F16" s="241" t="n">
        <v>14.995</v>
      </c>
      <c r="G16" s="238" t="n">
        <f aca="false">IF(ISERROR(D16*E16/(F16*0.0272)+1.2),0,D16*E16/(F16*0.0272)+1.2)</f>
        <v>63.7269697742385</v>
      </c>
    </row>
    <row r="17" customFormat="false" ht="19.5" hidden="false" customHeight="true" outlineLevel="0" collapsed="false">
      <c r="A17" s="22" t="n">
        <v>3</v>
      </c>
      <c r="B17" s="227" t="n">
        <f aca="false">IF(Particle_Type_Code = 2,'Отбор кусков'!R7,IF(Particle_Type_Code = 1,'Отбор кусков'!C10,"Error"))</f>
        <v>20</v>
      </c>
      <c r="C17" s="238" t="n">
        <f aca="false">IF(Particle_Type_Code = 2,'Отбор кусков'!R8,IF(Particle_Type_Code = 1,'Отбор кусков'!D10,"Error"))</f>
        <v>1011.2</v>
      </c>
      <c r="D17" s="239" t="n">
        <f aca="false">IF(B17&gt;0,C17/B17,0)</f>
        <v>50.56</v>
      </c>
      <c r="E17" s="238" t="n">
        <v>1</v>
      </c>
      <c r="F17" s="241" t="n">
        <v>50.033</v>
      </c>
      <c r="G17" s="238" t="n">
        <f aca="false">IF(ISERROR(D17*E17/(F17*0.0272)+0.9),0,D17*E17/(F17*0.0272)+0.9)</f>
        <v>38.0519503010366</v>
      </c>
    </row>
    <row r="18" customFormat="false" ht="19.5" hidden="false" customHeight="true" outlineLevel="0" collapsed="false">
      <c r="A18" s="22" t="n">
        <v>4</v>
      </c>
      <c r="B18" s="227" t="n">
        <f aca="false">IF(Particle_Type_Code = 2,'Отбор кусков'!S7,IF(Particle_Type_Code = 1,'Отбор кусков'!C11,"Error"))</f>
        <v>20</v>
      </c>
      <c r="C18" s="238" t="n">
        <f aca="false">IF(Particle_Type_Code = 2,'Отбор кусков'!S8,IF(Particle_Type_Code = 1,'Отбор кусков'!D11,"Error"))</f>
        <v>1022.4</v>
      </c>
      <c r="D18" s="239" t="n">
        <f aca="false">IF(B18&gt;0,C18/B18,0)</f>
        <v>51.12</v>
      </c>
      <c r="E18" s="238" t="n">
        <f aca="false">IF(C19=0,2.5,IF(E19&lt;3.5,ROUND((E19+E17)/2,2),2.5))</f>
        <v>1.83</v>
      </c>
      <c r="F18" s="241" t="n">
        <v>50.033</v>
      </c>
      <c r="G18" s="238" t="n">
        <f aca="false">IF(ISERROR(D18*E18/(F18*0.0272)+0.6),0,D18*E18/(F18*0.0272)+0.6)</f>
        <v>69.3411014612709</v>
      </c>
    </row>
    <row r="19" customFormat="false" ht="19.5" hidden="false" customHeight="true" outlineLevel="0" collapsed="false">
      <c r="A19" s="22" t="n">
        <v>5</v>
      </c>
      <c r="B19" s="227" t="n">
        <f aca="false">IF(Particle_Type_Code = 2,'Отбор кусков'!T7,IF(Particle_Type_Code = 1,'Отбор кусков'!C12,"Error"))</f>
        <v>20</v>
      </c>
      <c r="C19" s="238" t="n">
        <f aca="false">IF(Particle_Type_Code = 2,'Отбор кусков'!T8,IF(Particle_Type_Code = 1,'Отбор кусков'!D12,"Error"))</f>
        <v>1005.8</v>
      </c>
      <c r="D19" s="239" t="n">
        <f aca="false">IF(C19=0,0,IF(B19&gt;0,C19/B19,0))</f>
        <v>50.29</v>
      </c>
      <c r="E19" s="238" t="n">
        <f aca="false">IF(C19=0,3.5,IF((G11*0.0272*(100-1.5))/D19&gt;3.5,3.5,(G11*0.0272*(100-1.5))/D19))</f>
        <v>2.66550832372241</v>
      </c>
      <c r="F19" s="241" t="n">
        <v>50.033</v>
      </c>
      <c r="G19" s="238" t="n">
        <f aca="false">IF(ISERROR(D19*E19/(F19*0.0272)+0.3),0,D19*E19/(F19*0.0272)+0.3)</f>
        <v>98.8</v>
      </c>
    </row>
    <row r="20" customFormat="false" ht="19.5" hidden="false" customHeight="true" outlineLevel="0" collapsed="false">
      <c r="A20" s="22" t="str">
        <f aca="false">VLOOKUP("Totals",Language_Translation_Table,Language_Code,FALSE())</f>
        <v>Итого</v>
      </c>
      <c r="B20" s="242" t="n">
        <f aca="false">SUM(B15:B19)</f>
        <v>100</v>
      </c>
      <c r="C20" s="238" t="n">
        <f aca="false">SUM(C15:C19)</f>
        <v>5028.2</v>
      </c>
      <c r="D20" s="243" t="str">
        <f aca="false">VLOOKUP("Actual Volume",Language_Translation_Table,Language_Code,FALSE())</f>
        <v>Факт. объем</v>
      </c>
      <c r="E20" s="244" t="n">
        <f aca="false">IF(ISERROR(C20/B20/Mean_SG),0,C20/B20/Mean_SG)</f>
        <v>17.7936337117942</v>
      </c>
      <c r="F20" s="2"/>
      <c r="G20" s="245"/>
    </row>
    <row r="21" customFormat="false" ht="19.5" hidden="false" customHeight="true" outlineLevel="0" collapsed="false">
      <c r="A21" s="35"/>
      <c r="B21" s="246" t="str">
        <f aca="false">IF(B20&lt;&gt;100,VLOOKUP("Less than 100 particles selected",Language_Translation_Table,Language_Code,FALSE()),"")</f>
        <v/>
      </c>
      <c r="C21" s="35"/>
      <c r="D21" s="21" t="str">
        <f aca="false">VLOOKUP("Target Volume",Language_Translation_Table,Language_Code,FALSE())</f>
        <v>Целевой объем</v>
      </c>
      <c r="E21" s="247" t="n">
        <f aca="false">VLOOKUP(Core_Diam,DiamVTarget,2)</f>
        <v>16.464</v>
      </c>
      <c r="F21" s="248" t="str">
        <f aca="false">VLOOKUP("Target Diam. (mm)",Language_Translation_Table,Language_Code,FALSE())</f>
        <v>Целевой диаметр (мм)</v>
      </c>
      <c r="G21" s="233" t="n">
        <f aca="false">2*(3*E21/4/PI())^(1/3)*10</f>
        <v>31.5630462500311</v>
      </c>
    </row>
    <row r="22" customFormat="false" ht="19.5" hidden="false" customHeight="true" outlineLevel="0" collapsed="false">
      <c r="A22" s="35"/>
      <c r="B22" s="35"/>
      <c r="C22" s="35"/>
      <c r="D22" s="243" t="str">
        <f aca="false">VLOOKUP("Volume Status",Language_Translation_Table,Language_Code,FALSE())</f>
        <v>Статус объема</v>
      </c>
      <c r="E22" s="249" t="str">
        <f aca="false">IF(ABS((E20-E21)/E21)&gt;0.1, "problem","OK")</f>
        <v>OK</v>
      </c>
      <c r="F22" s="35"/>
      <c r="G22" s="35"/>
    </row>
    <row r="23" customFormat="false" ht="19.5" hidden="false" customHeight="true" outlineLevel="0" collapsed="false">
      <c r="A23" s="35"/>
      <c r="B23" s="35"/>
      <c r="C23" s="35"/>
      <c r="D23" s="35"/>
      <c r="E23" s="35"/>
      <c r="F23" s="35"/>
      <c r="G23" s="35"/>
    </row>
    <row r="24" customFormat="false" ht="19.5" hidden="false" customHeight="true" outlineLevel="0" collapsed="false">
      <c r="A24" s="21" t="str">
        <f aca="false">VLOOKUP("Results",Language_Translation_Table,Language_Code,FALSE())</f>
        <v>Результаты</v>
      </c>
      <c r="B24" s="35"/>
      <c r="C24" s="35"/>
      <c r="D24" s="35"/>
      <c r="E24" s="35"/>
      <c r="F24" s="35"/>
      <c r="G24" s="35"/>
    </row>
    <row r="25" customFormat="false" ht="19.5" hidden="false" customHeight="true" outlineLevel="0" collapsed="false">
      <c r="A25" s="21" t="str">
        <f aca="false">VLOOKUP("Set #",Language_Translation_Table,Language_Code,FALSE())</f>
        <v>Набор №</v>
      </c>
      <c r="B25" s="22" t="n">
        <v>1</v>
      </c>
      <c r="C25" s="22" t="n">
        <v>2</v>
      </c>
      <c r="D25" s="22" t="n">
        <v>3</v>
      </c>
      <c r="E25" s="22" t="n">
        <v>4</v>
      </c>
      <c r="F25" s="22" t="n">
        <v>5</v>
      </c>
      <c r="G25" s="250"/>
    </row>
    <row r="26" customFormat="false" ht="19.5" hidden="false" customHeight="true" outlineLevel="0" collapsed="false">
      <c r="A26" s="251" t="str">
        <f aca="false">VLOOKUP("Weight of 20 particles",Language_Translation_Table,Language_Code,FALSE())</f>
        <v>Масса 20 кусков</v>
      </c>
      <c r="B26" s="238" t="n">
        <f aca="false">C15</f>
        <v>968.7</v>
      </c>
      <c r="C26" s="238" t="n">
        <f aca="false">C16</f>
        <v>1020.1</v>
      </c>
      <c r="D26" s="238" t="n">
        <f aca="false">C17</f>
        <v>1011.2</v>
      </c>
      <c r="E26" s="238" t="n">
        <f aca="false">C18</f>
        <v>1022.4</v>
      </c>
      <c r="F26" s="238" t="n">
        <f aca="false">C19</f>
        <v>1005.8</v>
      </c>
      <c r="G26" s="234"/>
    </row>
    <row r="27" customFormat="false" ht="19.5" hidden="false" customHeight="true" outlineLevel="0" collapsed="false">
      <c r="A27" s="251" t="str">
        <f aca="false">VLOOKUP("Drop-Weight Mass - kg",Language_Translation_Table,Language_Code,FALSE())</f>
        <v>Масса груза - кг</v>
      </c>
      <c r="B27" s="230" t="n">
        <f aca="false">F15</f>
        <v>14.995</v>
      </c>
      <c r="C27" s="230" t="n">
        <f aca="false">F16</f>
        <v>14.995</v>
      </c>
      <c r="D27" s="230" t="n">
        <f aca="false">F17</f>
        <v>50.033</v>
      </c>
      <c r="E27" s="230" t="n">
        <f aca="false">F18</f>
        <v>50.033</v>
      </c>
      <c r="F27" s="230" t="n">
        <f aca="false">F19</f>
        <v>50.033</v>
      </c>
      <c r="G27" s="250"/>
      <c r="H27" s="3"/>
    </row>
    <row r="28" customFormat="false" ht="19.5" hidden="false" customHeight="true" outlineLevel="0" collapsed="false">
      <c r="A28" s="21" t="str">
        <f aca="false">VLOOKUP("Drop-Weight Configuration",Language_Translation_Table,Language_Code,FALSE())</f>
        <v>Комбинация грузов</v>
      </c>
      <c r="B28" s="252" t="str">
        <f aca="true">(OFFSET(AvailableWeights,MATCH(B27,AvailableWeights,0)-1,-1,1,1))</f>
        <v>HB</v>
      </c>
      <c r="C28" s="252" t="str">
        <f aca="true">(OFFSET(AvailableWeights,MATCH(C27,AvailableWeights,0)-1,-1,1,1))</f>
        <v>HB</v>
      </c>
      <c r="D28" s="252" t="str">
        <f aca="true">(OFFSET(AvailableWeights,MATCH(D27,AvailableWeights,0)-1,-1,1,1))</f>
        <v>HB+1+2+3+4+5</v>
      </c>
      <c r="E28" s="252" t="str">
        <f aca="true">(OFFSET(AvailableWeights,MATCH(E27,AvailableWeights,0)-1,-1,1,1))</f>
        <v>HB+1+2+3+4+5</v>
      </c>
      <c r="F28" s="252" t="str">
        <f aca="true">(OFFSET(AvailableWeights,MATCH(F27,AvailableWeights,0)-1,-1,1,1))</f>
        <v>HB+1+2+3+4+5</v>
      </c>
      <c r="G28" s="250"/>
    </row>
    <row r="29" customFormat="false" ht="19.5" hidden="false" customHeight="true" outlineLevel="0" collapsed="false">
      <c r="A29" s="21" t="str">
        <f aca="false">VLOOKUP("Drop Height (Target) - cm",Language_Translation_Table,Language_Code,FALSE())</f>
        <v>Высота (целевая) - см</v>
      </c>
      <c r="B29" s="253" t="n">
        <f aca="false">G15</f>
        <v>31.1882048918267</v>
      </c>
      <c r="C29" s="253" t="n">
        <f aca="false">G16</f>
        <v>63.7269697742385</v>
      </c>
      <c r="D29" s="253" t="n">
        <f aca="false">G17</f>
        <v>38.0519503010366</v>
      </c>
      <c r="E29" s="253" t="n">
        <f aca="false">G18</f>
        <v>69.3411014612709</v>
      </c>
      <c r="F29" s="233" t="n">
        <f aca="false">G19</f>
        <v>98.8</v>
      </c>
      <c r="G29" s="250"/>
    </row>
    <row r="30" customFormat="false" ht="19.5" hidden="false" customHeight="true" outlineLevel="0" collapsed="false">
      <c r="A30" s="251" t="str">
        <f aca="false">VLOOKUP("Drop Height (Actual) - cm",Language_Translation_Table,Language_Code,FALSE())</f>
        <v>Высота (фактическая) - см</v>
      </c>
      <c r="B30" s="254" t="n">
        <v>31.2</v>
      </c>
      <c r="C30" s="255" t="n">
        <v>63.7</v>
      </c>
      <c r="D30" s="255" t="n">
        <v>38.1</v>
      </c>
      <c r="E30" s="255" t="n">
        <v>69.3</v>
      </c>
      <c r="F30" s="255" t="n">
        <v>98.8</v>
      </c>
      <c r="G30" s="234"/>
    </row>
    <row r="31" customFormat="false" ht="19.5" hidden="false" customHeight="true" outlineLevel="0" collapsed="false">
      <c r="A31" s="251" t="str">
        <f aca="false">VLOOKUP("Average Gap - cm",Language_Translation_Table,Language_Code,FALSE())</f>
        <v>Средн. остат. высота - см</v>
      </c>
      <c r="B31" s="240" t="n">
        <f aca="false">B65</f>
        <v>2.1825</v>
      </c>
      <c r="C31" s="240" t="n">
        <f aca="false">C65</f>
        <v>1.775</v>
      </c>
      <c r="D31" s="240" t="n">
        <f aca="false">D65</f>
        <v>1.065</v>
      </c>
      <c r="E31" s="240" t="n">
        <f aca="false">E65</f>
        <v>0.845</v>
      </c>
      <c r="F31" s="240" t="n">
        <f aca="false">F65</f>
        <v>0.66</v>
      </c>
      <c r="G31" s="245"/>
    </row>
    <row r="32" customFormat="false" ht="19.5" hidden="false" customHeight="true" outlineLevel="0" collapsed="false">
      <c r="A32" s="251" t="str">
        <f aca="false">VLOOKUP("Final Height - cm",Language_Translation_Table,Language_Code,FALSE())</f>
        <v>Расчетная высота - см</v>
      </c>
      <c r="B32" s="240" t="n">
        <f aca="false">IF(ISERROR(B30-B31),0,B30-B31)</f>
        <v>29.0175</v>
      </c>
      <c r="C32" s="240" t="n">
        <f aca="false">IF(ISERROR(C30-C31),0,C30-C31)</f>
        <v>61.925</v>
      </c>
      <c r="D32" s="240" t="n">
        <f aca="false">IF(ISERROR(D30-D31),0,D30-D31)</f>
        <v>37.035</v>
      </c>
      <c r="E32" s="240" t="n">
        <f aca="false">IF(ISERROR(E30-E31),0,E30-E31)</f>
        <v>68.455</v>
      </c>
      <c r="F32" s="240" t="n">
        <f aca="false">IF(ISERROR(F30-F31),0,F30-F31)</f>
        <v>98.14</v>
      </c>
      <c r="G32" s="245"/>
    </row>
    <row r="33" customFormat="false" ht="19.5" hidden="false" customHeight="true" outlineLevel="0" collapsed="false">
      <c r="A33" s="21" t="s">
        <v>1152</v>
      </c>
      <c r="B33" s="256" t="n">
        <f aca="false">IF(ISERROR((B32*B27*0.0272)/(B26/B15)),0,(B32*B27*0.0272)/(B26/B15))</f>
        <v>0.244352092908021</v>
      </c>
      <c r="C33" s="256" t="n">
        <f aca="false">IF(ISERROR((C32*C27*0.0272)/(C26/B16)),0,(C32*C27*0.0272)/(C26/B16))</f>
        <v>0.495186318988334</v>
      </c>
      <c r="D33" s="256" t="n">
        <f aca="false">IF(ISERROR((D32*D27*0.0272)/(D26/B17)),0,(D32*D27*0.0272)/(D26/B17))</f>
        <v>0.996852108702532</v>
      </c>
      <c r="E33" s="256" t="n">
        <f aca="false">IF(ISERROR((E32*E27*0.0272)/(E26/B18)),0,(E32*E27*0.0272)/(E26/B18))</f>
        <v>1.82238351345853</v>
      </c>
      <c r="F33" s="256" t="n">
        <f aca="false">IF(ISERROR(IF(B19="","",(F32*F27*0.0272)/(F26/B19))),0,IF(B19="","",(F32*F27*0.0272)/(F26/B19)))</f>
        <v>2.65576636436667</v>
      </c>
      <c r="G33" s="257"/>
    </row>
    <row r="34" customFormat="false" ht="19.5" hidden="false" customHeight="true" outlineLevel="0" collapsed="false">
      <c r="A34" s="21" t="str">
        <f aca="false">VLOOKUP("Eis Status",Language_Translation_Table,Language_Code,FALSE())</f>
        <v>Статус Eis</v>
      </c>
      <c r="B34" s="258" t="str">
        <f aca="false">IF(ABS((B33-E15)/E15)&gt;0.05,"problem","OK")</f>
        <v>OK</v>
      </c>
      <c r="C34" s="258" t="str">
        <f aca="false">IF(ABS((C33-E16)/E16)&gt;0.05,"problem","OK")</f>
        <v>OK</v>
      </c>
      <c r="D34" s="258" t="str">
        <f aca="false">IF(ABS((D33-E17)/E17)&gt;0.05,"problem","OK")</f>
        <v>OK</v>
      </c>
      <c r="E34" s="258" t="str">
        <f aca="false">IF(ABS((E33-E18)/E18)&gt;0.05,"problem","OK")</f>
        <v>OK</v>
      </c>
      <c r="F34" s="258" t="str">
        <f aca="false">IF(F33="","",IF(ABS((F33-E19)/E19)&gt;0.05,"problem","OK"))</f>
        <v>OK</v>
      </c>
      <c r="G34" s="257"/>
    </row>
    <row r="35" customFormat="false" ht="19.5" hidden="false" customHeight="true" outlineLevel="0" collapsed="false">
      <c r="A35" s="21" t="str">
        <f aca="false">VLOOKUP("# unbroken",Language_Translation_Table,Language_Code,FALSE())</f>
        <v>кол-во неразрушенных</v>
      </c>
      <c r="B35" s="259" t="n">
        <v>0</v>
      </c>
      <c r="C35" s="259" t="n">
        <v>0</v>
      </c>
      <c r="D35" s="259" t="n">
        <v>0</v>
      </c>
      <c r="E35" s="259" t="n">
        <v>0</v>
      </c>
      <c r="F35" s="259" t="n">
        <v>0</v>
      </c>
      <c r="G35" s="250"/>
    </row>
    <row r="36" customFormat="false" ht="19.5" hidden="false" customHeight="true" outlineLevel="0" collapsed="false">
      <c r="A36" s="21" t="str">
        <f aca="false">VLOOKUP("# chipped",Language_Translation_Table,Language_Code,FALSE())</f>
        <v>кол-во расколотых</v>
      </c>
      <c r="B36" s="259" t="n">
        <v>0</v>
      </c>
      <c r="C36" s="259" t="n">
        <v>0</v>
      </c>
      <c r="D36" s="259" t="n">
        <v>0</v>
      </c>
      <c r="E36" s="259" t="n">
        <v>0</v>
      </c>
      <c r="F36" s="259" t="n">
        <v>0</v>
      </c>
      <c r="G36" s="250"/>
    </row>
    <row r="37" customFormat="false" ht="19.5" hidden="false" customHeight="true" outlineLevel="0" collapsed="false">
      <c r="A37" s="21" t="str">
        <f aca="false">VLOOKUP("sieve size",Language_Translation_Table,Language_Code,FALSE())</f>
        <v>Размер отверстия сита</v>
      </c>
      <c r="B37" s="260" t="n">
        <f aca="false">VLOOKUP(Core_Diam,DiamVTarget,6)</f>
        <v>2.8</v>
      </c>
      <c r="C37" s="260"/>
      <c r="D37" s="260"/>
      <c r="E37" s="260"/>
      <c r="F37" s="260"/>
      <c r="G37" s="35"/>
    </row>
    <row r="38" customFormat="false" ht="19.5" hidden="false" customHeight="true" outlineLevel="0" collapsed="false">
      <c r="A38" s="21" t="str">
        <f aca="false">VLOOKUP("wt oversize",Language_Translation_Table,Language_Code,FALSE())</f>
        <v>Масса надрешетного (г)</v>
      </c>
      <c r="B38" s="255" t="n">
        <v>854.6</v>
      </c>
      <c r="C38" s="255" t="n">
        <v>805.3</v>
      </c>
      <c r="D38" s="255" t="n">
        <v>675.8</v>
      </c>
      <c r="E38" s="255" t="n">
        <v>559.3</v>
      </c>
      <c r="F38" s="255" t="n">
        <v>471.9</v>
      </c>
      <c r="G38" s="250"/>
    </row>
    <row r="39" customFormat="false" ht="19.5" hidden="false" customHeight="true" outlineLevel="0" collapsed="false">
      <c r="A39" s="21" t="str">
        <f aca="false">VLOOKUP("wt undersize",Language_Translation_Table,Language_Code,FALSE())</f>
        <v>Масса подрешетного (г)</v>
      </c>
      <c r="B39" s="255" t="n">
        <v>111.8</v>
      </c>
      <c r="C39" s="255" t="n">
        <v>211.3</v>
      </c>
      <c r="D39" s="255" t="n">
        <v>331.7</v>
      </c>
      <c r="E39" s="255" t="n">
        <v>458.3</v>
      </c>
      <c r="F39" s="255" t="n">
        <v>527.8</v>
      </c>
      <c r="G39" s="261" t="n">
        <f aca="false">COUNT(Wt_US_Fields)</f>
        <v>5</v>
      </c>
    </row>
    <row r="40" customFormat="false" ht="19.5" hidden="false" customHeight="true" outlineLevel="0" collapsed="false">
      <c r="A40" s="251" t="str">
        <f aca="false">VLOOKUP("total weight",Language_Translation_Table,Language_Code,FALSE())</f>
        <v>Общая масса</v>
      </c>
      <c r="B40" s="227" t="n">
        <f aca="false">SUM(B38:B39)</f>
        <v>966.4</v>
      </c>
      <c r="C40" s="227" t="n">
        <f aca="false">SUM(C38:C39)</f>
        <v>1016.6</v>
      </c>
      <c r="D40" s="227" t="n">
        <f aca="false">SUM(D38:D39)</f>
        <v>1007.5</v>
      </c>
      <c r="E40" s="227" t="n">
        <f aca="false">SUM(E38:E39)</f>
        <v>1017.6</v>
      </c>
      <c r="F40" s="227" t="n">
        <f aca="false">IF(F33="","",SUM(F38:F39))</f>
        <v>999.7</v>
      </c>
      <c r="G40" s="250"/>
    </row>
    <row r="41" customFormat="false" ht="19.5" hidden="false" customHeight="true" outlineLevel="0" collapsed="false">
      <c r="A41" s="21" t="str">
        <f aca="false">VLOOKUP("sieve loss (%)",Language_Translation_Table,Language_Code,FALSE())</f>
        <v>Потери при просеве (%)</v>
      </c>
      <c r="B41" s="244" t="n">
        <f aca="false">IF(ISERROR((B26-B40)/B26*100),0,(B26-B40)/B26*100)</f>
        <v>0.237431609373394</v>
      </c>
      <c r="C41" s="244" t="n">
        <f aca="false">IF(ISERROR((C26-C40)/C26*100),0,(C26-C40)/C26*100)</f>
        <v>0.343103617292433</v>
      </c>
      <c r="D41" s="244" t="n">
        <f aca="false">IF(ISERROR((D26-D40)/D26*100),0,(D26-D40)/D26*100)</f>
        <v>0.365901898734182</v>
      </c>
      <c r="E41" s="244" t="n">
        <f aca="false">IF(ISERROR((E26-E40)/E26*100),0,(E26-E40)/E26*100)</f>
        <v>0.469483568075124</v>
      </c>
      <c r="F41" s="244" t="n">
        <f aca="false">IF(ISERROR(IF(F33="","",(F26-F40)/F26*100)),0,IF(F33="","",(F26-F40)/F26*100))</f>
        <v>0.606482402068008</v>
      </c>
      <c r="G41" s="234"/>
    </row>
    <row r="42" customFormat="false" ht="19.5" hidden="false" customHeight="true" outlineLevel="0" collapsed="false">
      <c r="A42" s="21" t="str">
        <f aca="false">VLOOKUP("sieve status",Language_Translation_Table,Language_Code,FALSE())</f>
        <v>Статус просева</v>
      </c>
      <c r="B42" s="262" t="str">
        <f aca="false">IF(ABS(B41)&gt;1,"problem","OK")</f>
        <v>OK</v>
      </c>
      <c r="C42" s="262" t="str">
        <f aca="false">IF(ABS(C41)&gt;1,"problem","OK")</f>
        <v>OK</v>
      </c>
      <c r="D42" s="262" t="str">
        <f aca="false">IF(ABS(D41)&gt;1,"problem","OK")</f>
        <v>OK</v>
      </c>
      <c r="E42" s="262" t="str">
        <f aca="false">IF(ABS(E41)&gt;1,"problem","OK")</f>
        <v>OK</v>
      </c>
      <c r="F42" s="262" t="str">
        <f aca="false">IF(F33="","",IF(ABS(F41)&gt;1,"problem","OK"))</f>
        <v>OK</v>
      </c>
      <c r="G42" s="234"/>
    </row>
    <row r="43" customFormat="false" ht="19.5" hidden="false" customHeight="true" outlineLevel="0" collapsed="false">
      <c r="A43" s="22" t="s">
        <v>8</v>
      </c>
      <c r="B43" s="244" t="n">
        <f aca="false">IF(ISERROR(B39/B40*100),0,B39/B40*100)</f>
        <v>11.5687086092715</v>
      </c>
      <c r="C43" s="244" t="n">
        <f aca="false">IF(ISERROR(C39/C40*100),0,C39/C40*100)</f>
        <v>20.7849695061971</v>
      </c>
      <c r="D43" s="244" t="n">
        <f aca="false">IF(ISERROR(D39/D40*100),0,D39/D40*100)</f>
        <v>32.9230769230769</v>
      </c>
      <c r="E43" s="244" t="n">
        <f aca="false">IF(ISERROR(E39/E40*100),0,E39/E40*100)</f>
        <v>45.0373427672956</v>
      </c>
      <c r="F43" s="244" t="n">
        <f aca="false">IF(ISERROR(IF(F33="","",F39/F40*100)),0,IF(F33="","",F39/F40*100))</f>
        <v>52.7958387516255</v>
      </c>
      <c r="G43" s="263"/>
    </row>
    <row r="44" customFormat="false" ht="19.5" hidden="false" customHeight="true" outlineLevel="0" collapsed="false">
      <c r="A44" s="22" t="str">
        <f aca="false">VLOOKUP("Particle",Language_Translation_Table,Language_Code,FALSE())</f>
        <v>Кусок</v>
      </c>
      <c r="B44" s="237" t="str">
        <f aca="false">VLOOKUP("Gaps (mm)",Language_Translation_Table,Language_Code,FALSE())</f>
        <v>Остаточная высота (мм)</v>
      </c>
      <c r="C44" s="237"/>
      <c r="D44" s="237"/>
      <c r="E44" s="237"/>
      <c r="F44" s="237"/>
      <c r="G44" s="35"/>
    </row>
    <row r="45" customFormat="false" ht="19.5" hidden="false" customHeight="true" outlineLevel="0" collapsed="false">
      <c r="A45" s="227" t="n">
        <v>1</v>
      </c>
      <c r="B45" s="255" t="n">
        <v>28.5</v>
      </c>
      <c r="C45" s="255" t="n">
        <v>11.5</v>
      </c>
      <c r="D45" s="255" t="n">
        <v>9</v>
      </c>
      <c r="E45" s="255" t="n">
        <v>7</v>
      </c>
      <c r="F45" s="255" t="n">
        <v>6.5</v>
      </c>
      <c r="G45" s="250"/>
    </row>
    <row r="46" customFormat="false" ht="19.5" hidden="false" customHeight="true" outlineLevel="0" collapsed="false">
      <c r="A46" s="227" t="n">
        <v>2</v>
      </c>
      <c r="B46" s="255" t="n">
        <v>25.5</v>
      </c>
      <c r="C46" s="255" t="n">
        <v>7</v>
      </c>
      <c r="D46" s="255" t="n">
        <v>11</v>
      </c>
      <c r="E46" s="255" t="n">
        <v>7</v>
      </c>
      <c r="F46" s="255" t="n">
        <v>6.5</v>
      </c>
      <c r="G46" s="250"/>
    </row>
    <row r="47" customFormat="false" ht="19.5" hidden="false" customHeight="true" outlineLevel="0" collapsed="false">
      <c r="A47" s="227" t="n">
        <v>3</v>
      </c>
      <c r="B47" s="255" t="n">
        <v>14.5</v>
      </c>
      <c r="C47" s="255" t="n">
        <v>11.5</v>
      </c>
      <c r="D47" s="255" t="n">
        <v>6.5</v>
      </c>
      <c r="E47" s="255" t="n">
        <v>7</v>
      </c>
      <c r="F47" s="255" t="n">
        <v>4.5</v>
      </c>
      <c r="G47" s="250"/>
    </row>
    <row r="48" customFormat="false" ht="19.5" hidden="false" customHeight="true" outlineLevel="0" collapsed="false">
      <c r="A48" s="227" t="n">
        <v>4</v>
      </c>
      <c r="B48" s="255" t="n">
        <v>20</v>
      </c>
      <c r="C48" s="255" t="n">
        <v>25.5</v>
      </c>
      <c r="D48" s="255" t="n">
        <v>11</v>
      </c>
      <c r="E48" s="255" t="n">
        <v>8.5</v>
      </c>
      <c r="F48" s="255" t="n">
        <v>4.5</v>
      </c>
      <c r="G48" s="250"/>
    </row>
    <row r="49" customFormat="false" ht="19.5" hidden="false" customHeight="true" outlineLevel="0" collapsed="false">
      <c r="A49" s="227" t="n">
        <v>5</v>
      </c>
      <c r="B49" s="255" t="n">
        <v>13</v>
      </c>
      <c r="C49" s="255" t="n">
        <v>18</v>
      </c>
      <c r="D49" s="255" t="n">
        <v>11</v>
      </c>
      <c r="E49" s="255" t="n">
        <v>6</v>
      </c>
      <c r="F49" s="255" t="n">
        <v>7</v>
      </c>
      <c r="G49" s="250"/>
    </row>
    <row r="50" customFormat="false" ht="19.5" hidden="false" customHeight="true" outlineLevel="0" collapsed="false">
      <c r="A50" s="227" t="n">
        <v>6</v>
      </c>
      <c r="B50" s="255" t="n">
        <v>27.5</v>
      </c>
      <c r="C50" s="255" t="n">
        <v>13.5</v>
      </c>
      <c r="D50" s="255" t="n">
        <v>8</v>
      </c>
      <c r="E50" s="255" t="n">
        <v>6.5</v>
      </c>
      <c r="F50" s="255" t="n">
        <v>6.5</v>
      </c>
      <c r="G50" s="250"/>
    </row>
    <row r="51" customFormat="false" ht="19.5" hidden="false" customHeight="true" outlineLevel="0" collapsed="false">
      <c r="A51" s="227" t="n">
        <v>7</v>
      </c>
      <c r="B51" s="255" t="n">
        <v>25</v>
      </c>
      <c r="C51" s="255" t="n">
        <v>9</v>
      </c>
      <c r="D51" s="255" t="n">
        <v>9.5</v>
      </c>
      <c r="E51" s="255" t="n">
        <v>7</v>
      </c>
      <c r="F51" s="255" t="n">
        <v>10</v>
      </c>
      <c r="G51" s="250"/>
    </row>
    <row r="52" customFormat="false" ht="19.5" hidden="false" customHeight="true" outlineLevel="0" collapsed="false">
      <c r="A52" s="227" t="n">
        <v>8</v>
      </c>
      <c r="B52" s="255" t="n">
        <v>23</v>
      </c>
      <c r="C52" s="255" t="n">
        <v>14</v>
      </c>
      <c r="D52" s="255" t="n">
        <v>5</v>
      </c>
      <c r="E52" s="255" t="n">
        <v>5</v>
      </c>
      <c r="F52" s="255" t="n">
        <v>7</v>
      </c>
      <c r="G52" s="250"/>
    </row>
    <row r="53" customFormat="false" ht="19.5" hidden="false" customHeight="true" outlineLevel="0" collapsed="false">
      <c r="A53" s="227" t="n">
        <v>9</v>
      </c>
      <c r="B53" s="255" t="n">
        <v>24</v>
      </c>
      <c r="C53" s="255" t="n">
        <v>17.5</v>
      </c>
      <c r="D53" s="255" t="n">
        <v>7</v>
      </c>
      <c r="E53" s="255" t="n">
        <v>7.5</v>
      </c>
      <c r="F53" s="255" t="n">
        <v>2</v>
      </c>
      <c r="G53" s="250"/>
    </row>
    <row r="54" customFormat="false" ht="19.5" hidden="false" customHeight="true" outlineLevel="0" collapsed="false">
      <c r="A54" s="227" t="n">
        <v>10</v>
      </c>
      <c r="B54" s="255" t="n">
        <v>22</v>
      </c>
      <c r="C54" s="255" t="n">
        <v>20</v>
      </c>
      <c r="D54" s="255" t="n">
        <v>10.5</v>
      </c>
      <c r="E54" s="255" t="n">
        <v>6.5</v>
      </c>
      <c r="F54" s="255" t="n">
        <v>8</v>
      </c>
      <c r="G54" s="250"/>
    </row>
    <row r="55" customFormat="false" ht="19.5" hidden="false" customHeight="true" outlineLevel="0" collapsed="false">
      <c r="A55" s="227" t="n">
        <v>11</v>
      </c>
      <c r="B55" s="255" t="n">
        <v>23</v>
      </c>
      <c r="C55" s="255" t="n">
        <v>22</v>
      </c>
      <c r="D55" s="255" t="n">
        <v>11</v>
      </c>
      <c r="E55" s="255" t="n">
        <v>6</v>
      </c>
      <c r="F55" s="255" t="n">
        <v>5.5</v>
      </c>
      <c r="G55" s="245"/>
    </row>
    <row r="56" customFormat="false" ht="19.5" hidden="false" customHeight="true" outlineLevel="0" collapsed="false">
      <c r="A56" s="227" t="n">
        <v>12</v>
      </c>
      <c r="B56" s="255" t="n">
        <v>21.5</v>
      </c>
      <c r="C56" s="255" t="n">
        <v>21.5</v>
      </c>
      <c r="D56" s="255" t="n">
        <v>7</v>
      </c>
      <c r="E56" s="255" t="n">
        <v>7</v>
      </c>
      <c r="F56" s="255" t="n">
        <v>2</v>
      </c>
      <c r="G56" s="35"/>
    </row>
    <row r="57" customFormat="false" ht="19.5" hidden="false" customHeight="true" outlineLevel="0" collapsed="false">
      <c r="A57" s="227" t="n">
        <v>13</v>
      </c>
      <c r="B57" s="255" t="n">
        <v>21.5</v>
      </c>
      <c r="C57" s="255" t="n">
        <v>23.5</v>
      </c>
      <c r="D57" s="255" t="n">
        <v>6.5</v>
      </c>
      <c r="E57" s="255" t="n">
        <v>6.5</v>
      </c>
      <c r="F57" s="255" t="n">
        <v>3</v>
      </c>
      <c r="G57" s="35"/>
    </row>
    <row r="58" customFormat="false" ht="19.5" hidden="false" customHeight="true" outlineLevel="0" collapsed="false">
      <c r="A58" s="227" t="n">
        <v>14</v>
      </c>
      <c r="B58" s="255" t="n">
        <v>23.5</v>
      </c>
      <c r="C58" s="255" t="n">
        <v>22</v>
      </c>
      <c r="D58" s="255" t="n">
        <v>17</v>
      </c>
      <c r="E58" s="255" t="n">
        <v>12.5</v>
      </c>
      <c r="F58" s="255" t="n">
        <v>5</v>
      </c>
      <c r="G58" s="35"/>
    </row>
    <row r="59" customFormat="false" ht="19.5" hidden="false" customHeight="true" outlineLevel="0" collapsed="false">
      <c r="A59" s="227" t="n">
        <v>15</v>
      </c>
      <c r="B59" s="255" t="n">
        <v>21.5</v>
      </c>
      <c r="C59" s="255" t="n">
        <v>20</v>
      </c>
      <c r="D59" s="255" t="n">
        <v>17</v>
      </c>
      <c r="E59" s="255" t="n">
        <v>12</v>
      </c>
      <c r="F59" s="255" t="n">
        <v>12.5</v>
      </c>
      <c r="G59" s="35"/>
    </row>
    <row r="60" customFormat="false" ht="19.5" hidden="false" customHeight="true" outlineLevel="0" collapsed="false">
      <c r="A60" s="227" t="n">
        <v>16</v>
      </c>
      <c r="B60" s="255" t="n">
        <v>10.5</v>
      </c>
      <c r="C60" s="255" t="n">
        <v>22.5</v>
      </c>
      <c r="D60" s="255" t="n">
        <v>8</v>
      </c>
      <c r="E60" s="255" t="n">
        <v>12</v>
      </c>
      <c r="F60" s="255" t="n">
        <v>8</v>
      </c>
      <c r="G60" s="35"/>
    </row>
    <row r="61" customFormat="false" ht="19.5" hidden="false" customHeight="true" outlineLevel="0" collapsed="false">
      <c r="A61" s="227" t="n">
        <v>17</v>
      </c>
      <c r="B61" s="255" t="n">
        <v>21</v>
      </c>
      <c r="C61" s="255" t="n">
        <v>20.5</v>
      </c>
      <c r="D61" s="255" t="n">
        <v>13</v>
      </c>
      <c r="E61" s="255" t="n">
        <v>13.5</v>
      </c>
      <c r="F61" s="255" t="n">
        <v>7</v>
      </c>
      <c r="G61" s="35"/>
    </row>
    <row r="62" customFormat="false" ht="19.5" hidden="false" customHeight="true" outlineLevel="0" collapsed="false">
      <c r="A62" s="227" t="n">
        <v>18</v>
      </c>
      <c r="B62" s="255" t="n">
        <v>24.5</v>
      </c>
      <c r="C62" s="255" t="n">
        <v>10.5</v>
      </c>
      <c r="D62" s="255" t="n">
        <v>12</v>
      </c>
      <c r="E62" s="255" t="n">
        <v>9</v>
      </c>
      <c r="F62" s="255" t="n">
        <v>8.5</v>
      </c>
      <c r="G62" s="35"/>
    </row>
    <row r="63" customFormat="false" ht="19.5" hidden="false" customHeight="true" outlineLevel="0" collapsed="false">
      <c r="A63" s="227" t="n">
        <v>19</v>
      </c>
      <c r="B63" s="255" t="n">
        <v>24</v>
      </c>
      <c r="C63" s="255" t="n">
        <v>23.5</v>
      </c>
      <c r="D63" s="255" t="n">
        <v>16</v>
      </c>
      <c r="E63" s="255" t="n">
        <v>11</v>
      </c>
      <c r="F63" s="255" t="n">
        <v>8.5</v>
      </c>
      <c r="G63" s="35"/>
    </row>
    <row r="64" customFormat="false" ht="19.5" hidden="false" customHeight="true" outlineLevel="0" collapsed="false">
      <c r="A64" s="227" t="n">
        <v>20</v>
      </c>
      <c r="B64" s="255" t="n">
        <v>22.5</v>
      </c>
      <c r="C64" s="255" t="n">
        <v>21.5</v>
      </c>
      <c r="D64" s="255" t="n">
        <v>17</v>
      </c>
      <c r="E64" s="255" t="n">
        <v>11.5</v>
      </c>
      <c r="F64" s="255" t="n">
        <v>9.5</v>
      </c>
      <c r="G64" s="35"/>
    </row>
    <row r="65" customFormat="false" ht="19.5" hidden="false" customHeight="true" outlineLevel="0" collapsed="false">
      <c r="A65" s="22" t="str">
        <f aca="false">VLOOKUP("Average Gap - cm",Language_Translation_Table,Language_Code,FALSE())</f>
        <v>Средн. остат. высота - см</v>
      </c>
      <c r="B65" s="264" t="n">
        <f aca="false">IF(COUNT(B45:B64)&gt;0,AVERAGE(B45:B64)/10,0)</f>
        <v>2.1825</v>
      </c>
      <c r="C65" s="264" t="n">
        <f aca="false">IF(COUNT(C45:C64)&gt;0,AVERAGE(C45:C64)/10,0)</f>
        <v>1.775</v>
      </c>
      <c r="D65" s="264" t="n">
        <f aca="false">IF(COUNT(D45:D64)&gt;0,AVERAGE(D45:D64)/10,0)</f>
        <v>1.065</v>
      </c>
      <c r="E65" s="264" t="n">
        <f aca="false">IF(COUNT(E45:E64)&gt;0,AVERAGE(E45:E64)/10,0)</f>
        <v>0.845</v>
      </c>
      <c r="F65" s="264" t="n">
        <f aca="false">IF(COUNT(F45:F64)&gt;0,AVERAGE(F45:F64)/10,0)</f>
        <v>0.66</v>
      </c>
      <c r="G65" s="35"/>
    </row>
  </sheetData>
  <sheetProtection sheet="true" password="f068" objects="true" scenarios="true" formatColumns="false"/>
  <mergeCells count="11">
    <mergeCell ref="B3:C3"/>
    <mergeCell ref="B4:C4"/>
    <mergeCell ref="B5:C5"/>
    <mergeCell ref="B6:C6"/>
    <mergeCell ref="B7:C7"/>
    <mergeCell ref="B11:C11"/>
    <mergeCell ref="A13:D13"/>
    <mergeCell ref="E13:E14"/>
    <mergeCell ref="F13:G13"/>
    <mergeCell ref="B37:F37"/>
    <mergeCell ref="B44:F44"/>
  </mergeCells>
  <conditionalFormatting sqref="B20">
    <cfRule type="cellIs" priority="2" operator="notEqual" aboveAverage="0" equalAverage="0" bottom="0" percent="0" rank="0" text="" dxfId="11">
      <formula>100</formula>
    </cfRule>
  </conditionalFormatting>
  <dataValidations count="1">
    <dataValidation allowBlank="true" errorStyle="stop" operator="between" showDropDown="false" showErrorMessage="true" showInputMessage="true" sqref="F15:F19" type="list">
      <formula1>AvailableWeights</formula1>
      <formula2>0</formula2>
    </dataValidation>
  </dataValidations>
  <printOptions headings="false" gridLines="true" gridLinesSet="true" horizontalCentered="false" verticalCentered="false"/>
  <pageMargins left="0.747916666666667" right="0.39375" top="0.984027777777778" bottom="0.984027777777778" header="0.511805555555556" footer="0.511811023622047"/>
  <pageSetup paperSize="9" scale="100" fitToWidth="1" fitToHeight="1" pageOrder="downThenOver" orientation="portrait" blackAndWhite="false" draft="false" cellComments="none" horizontalDpi="300" verticalDpi="300" copies="1"/>
  <headerFooter differentFirst="false" differentOddEven="false">
    <oddHeader>&amp;C&amp;20SMC TEST
РАБОЧИЙ ЛИСТ ТЕСТИРОВАНИЯ</oddHeader>
    <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A39:A48 A1"/>
    </sheetView>
  </sheetViews>
  <sheetFormatPr defaultColWidth="8.5078125" defaultRowHeight="12.8" zeroHeight="false" outlineLevelRow="0" outlineLevelCol="0"/>
  <sheetData/>
  <sheetProtection sheet="true" objects="true"/>
  <printOptions headings="false" gridLines="false" gridLinesSet="true" horizontalCentered="false" verticalCentered="false"/>
  <pageMargins left="0.75" right="0.75" top="1" bottom="1" header="0.511811023622047" footer="0.511811023622047"/>
  <pageSetup paperSize="77"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4A56EBC084C2D43B5F6391DD4E07746" ma:contentTypeVersion="0" ma:contentTypeDescription="Create a new document." ma:contentTypeScope="" ma:versionID="0775325720a206b15b866467183f0e7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F300606-1E59-4C36-98A0-46D7BA23D6CC}">
  <ds:schemaRefs>
    <ds:schemaRef ds:uri="http://schemas.microsoft.com/sharepoint/v3/contenttype/forms"/>
  </ds:schemaRefs>
</ds:datastoreItem>
</file>

<file path=customXml/itemProps2.xml><?xml version="1.0" encoding="utf-8"?>
<ds:datastoreItem xmlns:ds="http://schemas.openxmlformats.org/officeDocument/2006/customXml" ds:itemID="{86917CB0-7E8F-4E57-9E39-5D68215EE4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FD32889D-9562-4420-83D8-E2689159E2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emplate/>
  <TotalTime>0</TotalTime>
  <Application>LibreOffice/24.8.3.2$Linux_X86_64 LibreOffice_project/480$Build-2</Application>
  <AppVersion>15.0000</AppVersion>
  <Company>University of Queensland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2007-01-23T07:14:52Z</dcterms:created>
  <dc:creator>Alister Grimes</dc:creator>
  <dc:description>2009 07 25 Version</dc:description>
  <dc:language>en-US</dc:language>
  <cp:lastModifiedBy>Чижов Никита Александрович</cp:lastModifiedBy>
  <dcterms:modified xsi:type="dcterms:W3CDTF">2024-06-20T02:33:49Z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